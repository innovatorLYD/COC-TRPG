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mc:AlternateContent xmlns:mc="http://schemas.openxmlformats.org/markup-compatibility/2006">
    <mc:Choice Requires="x15">
      <x15ac:absPath xmlns:x15ac="http://schemas.microsoft.com/office/spreadsheetml/2010/11/ac" url="D:\Onedrive\TRPG\Call of Cthulhu\"/>
    </mc:Choice>
  </mc:AlternateContent>
  <xr:revisionPtr revIDLastSave="0" documentId="13_ncr:1_{0C068550-E985-414C-A6DE-0F8542A44260}" xr6:coauthVersionLast="38" xr6:coauthVersionMax="38" xr10:uidLastSave="{00000000-0000-0000-0000-000000000000}"/>
  <bookViews>
    <workbookView xWindow="0" yWindow="0" windowWidth="13680" windowHeight="7755" tabRatio="601" xr2:uid="{00000000-000D-0000-FFFF-FFFF00000000}"/>
  </bookViews>
  <sheets>
    <sheet name="建卡" sheetId="13" r:id="rId1"/>
    <sheet name="人物卡" sheetId="1" r:id="rId2"/>
    <sheet name="技能专攻" sheetId="2" r:id="rId3"/>
    <sheet name="职业列表" sheetId="7" r:id="rId4"/>
    <sheet name="资产对照表" sheetId="12" r:id="rId5"/>
    <sheet name="掷骰" sheetId="14" r:id="rId6"/>
    <sheet name="txt输出" sheetId="10" r:id="rId7"/>
    <sheet name="附表" sheetId="8" state="hidden" r:id="rId8"/>
  </sheets>
  <externalReferences>
    <externalReference r:id="rId9"/>
  </externalReferences>
  <definedNames>
    <definedName name="_xlnm._FilterDatabase" localSheetId="6" hidden="1">txt输出!$B$1:$B$103</definedName>
    <definedName name="_xlnm._FilterDatabase" localSheetId="3" hidden="1">职业列表!$A$1:$F$116</definedName>
    <definedName name="Age">人物卡!$D$6</definedName>
    <definedName name="APP" localSheetId="5">[1]人物卡!$X$5</definedName>
    <definedName name="APP">人物卡!$X$5</definedName>
    <definedName name="Assets">人物卡!$B$50</definedName>
    <definedName name="backstory">人物卡!$W$48</definedName>
    <definedName name="Build" localSheetId="5">[1]人物卡!$AN$41</definedName>
    <definedName name="Build">人物卡!$AN$41</definedName>
    <definedName name="CON" localSheetId="5">[1]人物卡!$R$5</definedName>
    <definedName name="CON">人物卡!$R$5</definedName>
    <definedName name="CR" localSheetId="5">[1]人物卡!$H$24+[1]人物卡!$J$24</definedName>
    <definedName name="CR">人物卡!$H$26+人物卡!$J$26</definedName>
    <definedName name="DB" localSheetId="5">[1]人物卡!$AN$39</definedName>
    <definedName name="DB">人物卡!$AN$39</definedName>
    <definedName name="DEX" localSheetId="5">[1]人物卡!$X$3</definedName>
    <definedName name="DEX">人物卡!$X$3</definedName>
    <definedName name="Dodge" localSheetId="5">[1]人物卡!$AN$43</definedName>
    <definedName name="Dodge">人物卡!$AN$43</definedName>
    <definedName name="EDU" localSheetId="5">[1]人物卡!$X$7</definedName>
    <definedName name="EDU">人物卡!$X$7</definedName>
    <definedName name="Gear">人物卡!$B$56</definedName>
    <definedName name="HP" localSheetId="5">[1]人物卡!$E$10</definedName>
    <definedName name="HP">人物卡!$E$10</definedName>
    <definedName name="HPmax" localSheetId="5">[1]人物卡!$H$10</definedName>
    <definedName name="HPmax">人物卡!$H$10</definedName>
    <definedName name="INT" localSheetId="5">[1]人物卡!$AD$3</definedName>
    <definedName name="INT">人物卡!$AD$3</definedName>
    <definedName name="Luck" localSheetId="5">[1]人物卡!$W$10</definedName>
    <definedName name="Luck">人物卡!$W$10</definedName>
    <definedName name="MOV" localSheetId="5">[1]人物卡!$AD$7</definedName>
    <definedName name="MOV">人物卡!$AD$7</definedName>
    <definedName name="MOV_main" localSheetId="5">[1]附表!$F$23</definedName>
    <definedName name="MOV_main">附表!$F$23</definedName>
    <definedName name="MP" localSheetId="5">[1]人物卡!$AD$10</definedName>
    <definedName name="MP">人物卡!$AD$10</definedName>
    <definedName name="MPmax" localSheetId="5">[1]人物卡!$AF$10</definedName>
    <definedName name="MPmax">人物卡!$AF$10</definedName>
    <definedName name="OccNo" localSheetId="5">[1]建卡!$E$38</definedName>
    <definedName name="OccNo">建卡!$E$38</definedName>
    <definedName name="POW" localSheetId="5">[1]人物卡!$AD$5</definedName>
    <definedName name="POW">人物卡!$AD$5</definedName>
    <definedName name="SAN" localSheetId="5">[1]人物卡!$N$10</definedName>
    <definedName name="SAN">人物卡!$N$10</definedName>
    <definedName name="SANmax" localSheetId="5">[1]人物卡!$Q$10</definedName>
    <definedName name="SANmax">人物卡!$Q$10</definedName>
    <definedName name="SIZ" localSheetId="5">[1]人物卡!$R$7</definedName>
    <definedName name="SIZ">人物卡!$R$7</definedName>
    <definedName name="STR" localSheetId="5">[1]人物卡!$R$3</definedName>
    <definedName name="STR">人物卡!$R$3</definedName>
    <definedName name="Talents1">[1]建卡!$G$31</definedName>
    <definedName name="Talents2">[1]建卡!$G$32</definedName>
    <definedName name="Talents3">[1]建卡!$G$33</definedName>
    <definedName name="Talents4">[1]建卡!$G$34</definedName>
    <definedName name="weapon" localSheetId="5">[1]人物卡!$B$41</definedName>
    <definedName name="weapon">人物卡!$B$41</definedName>
    <definedName name="精神天赋">[1]英雄天赋!$C$17:$C$26</definedName>
    <definedName name="其他天赋">[1]英雄天赋!$C$43:$C$52</definedName>
    <definedName name="肉体天赋">[1]英雄天赋!$C$4:$C$13</definedName>
    <definedName name="战斗天赋">[1]英雄天赋!$C$30:$C$39</definedName>
  </definedNames>
  <calcPr calcId="17902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3" i="10" l="1"/>
  <c r="B12" i="10"/>
  <c r="B11" i="10"/>
  <c r="T4" i="14" l="1"/>
  <c r="Q4" i="14"/>
  <c r="N4" i="14"/>
  <c r="K4" i="14"/>
  <c r="H4" i="14"/>
  <c r="E4" i="14"/>
  <c r="B4" i="14"/>
  <c r="X63" i="13" l="1"/>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29" i="10"/>
  <c r="B10" i="10"/>
  <c r="B57" i="13" l="1"/>
  <c r="B64" i="13"/>
  <c r="AE33" i="1" l="1"/>
  <c r="AE34" i="1"/>
  <c r="AE35" i="1"/>
  <c r="AE36" i="1"/>
  <c r="AE32" i="1"/>
  <c r="B59" i="10"/>
  <c r="B60" i="10"/>
  <c r="B61" i="10"/>
  <c r="B62" i="10"/>
  <c r="B63" i="10"/>
  <c r="B64" i="10"/>
  <c r="B65" i="10"/>
  <c r="B66" i="10"/>
  <c r="B67" i="10"/>
  <c r="B68" i="10"/>
  <c r="B69" i="10"/>
  <c r="B70" i="10"/>
  <c r="B71" i="10"/>
  <c r="B72" i="10"/>
  <c r="B73" i="10"/>
  <c r="B74" i="10"/>
  <c r="B75" i="10"/>
  <c r="B76" i="10"/>
  <c r="B77" i="10"/>
  <c r="AE16" i="1"/>
  <c r="AD58" i="13"/>
  <c r="AJ16" i="1" s="1"/>
  <c r="AN16" i="1" s="1"/>
  <c r="B58" i="10" s="1"/>
  <c r="B49" i="10"/>
  <c r="B50" i="10"/>
  <c r="B51" i="10"/>
  <c r="B52" i="10"/>
  <c r="B53" i="10"/>
  <c r="B54" i="10"/>
  <c r="B55" i="10"/>
  <c r="B56" i="10"/>
  <c r="Q36" i="1"/>
  <c r="AD57" i="13"/>
  <c r="V36" i="1" s="1"/>
  <c r="Z36" i="1" s="1"/>
  <c r="B57" i="10" s="1"/>
  <c r="Q27" i="1"/>
  <c r="AD48" i="13"/>
  <c r="V27" i="1" s="1"/>
  <c r="Z27" i="1" s="1"/>
  <c r="B48" i="10" s="1"/>
  <c r="Q26" i="1"/>
  <c r="X7" i="1"/>
  <c r="B38" i="10"/>
  <c r="B39" i="10"/>
  <c r="B40" i="10"/>
  <c r="B41" i="10"/>
  <c r="B42" i="10"/>
  <c r="B43" i="10"/>
  <c r="B44" i="10"/>
  <c r="B45" i="10"/>
  <c r="B46" i="10"/>
  <c r="Q16" i="1"/>
  <c r="G69" i="13"/>
  <c r="M69" i="13" s="1"/>
  <c r="B34" i="10"/>
  <c r="B35" i="10"/>
  <c r="C36" i="1"/>
  <c r="M68" i="13"/>
  <c r="O68" i="13" s="1"/>
  <c r="B17" i="10"/>
  <c r="B19" i="10"/>
  <c r="B20" i="10"/>
  <c r="B21" i="10"/>
  <c r="B22" i="10"/>
  <c r="B23" i="10"/>
  <c r="B24" i="10"/>
  <c r="B25" i="10"/>
  <c r="C27" i="1"/>
  <c r="M59" i="13"/>
  <c r="H27" i="1" s="1"/>
  <c r="B28" i="10"/>
  <c r="B30" i="10"/>
  <c r="B31" i="10"/>
  <c r="B32" i="10"/>
  <c r="B33" i="10"/>
  <c r="B16" i="10"/>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X34" i="13" s="1"/>
  <c r="D8" i="1"/>
  <c r="D7" i="1"/>
  <c r="D5" i="1"/>
  <c r="D4" i="1"/>
  <c r="B3" i="10" s="1"/>
  <c r="D3" i="1"/>
  <c r="W10" i="1"/>
  <c r="AD34" i="13"/>
  <c r="N10" i="1" s="1"/>
  <c r="R7" i="1"/>
  <c r="F12" i="8" s="1"/>
  <c r="R5" i="1"/>
  <c r="AD3" i="1"/>
  <c r="C32" i="1"/>
  <c r="C25" i="1"/>
  <c r="I35" i="13"/>
  <c r="H35" i="13"/>
  <c r="G35" i="13"/>
  <c r="M49" i="13"/>
  <c r="Q49" i="13" s="1"/>
  <c r="M48" i="13"/>
  <c r="H16" i="1" s="1"/>
  <c r="L16" i="1"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M77" i="13"/>
  <c r="Q77" i="13" s="1"/>
  <c r="AD76" i="13"/>
  <c r="AJ34" i="1" s="1"/>
  <c r="AN34" i="1" s="1"/>
  <c r="M76" i="13"/>
  <c r="V23" i="1" s="1"/>
  <c r="Z23" i="1" s="1"/>
  <c r="AD75" i="13"/>
  <c r="AF75" i="13" s="1"/>
  <c r="M75" i="13"/>
  <c r="V22" i="1" s="1"/>
  <c r="Z22" i="1" s="1"/>
  <c r="AD74" i="13"/>
  <c r="AJ32" i="1" s="1"/>
  <c r="AN32" i="1" s="1"/>
  <c r="M74" i="13"/>
  <c r="O74" i="13" s="1"/>
  <c r="X73" i="13"/>
  <c r="AD73" i="13" s="1"/>
  <c r="M73" i="13"/>
  <c r="Q73" i="13" s="1"/>
  <c r="AD72" i="13"/>
  <c r="AJ30" i="1" s="1"/>
  <c r="AN30" i="1" s="1"/>
  <c r="M72" i="13"/>
  <c r="V19" i="1" s="1"/>
  <c r="Z19" i="1" s="1"/>
  <c r="AD71" i="13"/>
  <c r="AJ29" i="1" s="1"/>
  <c r="AN29" i="1" s="1"/>
  <c r="M71" i="13"/>
  <c r="V18" i="1" s="1"/>
  <c r="Z18" i="1" s="1"/>
  <c r="AD70" i="13"/>
  <c r="AJ28" i="1" s="1"/>
  <c r="AN28" i="1" s="1"/>
  <c r="G70" i="13"/>
  <c r="M70" i="13" s="1"/>
  <c r="V17" i="1" s="1"/>
  <c r="Z17" i="1" s="1"/>
  <c r="AD69" i="13"/>
  <c r="AJ27" i="1" s="1"/>
  <c r="AN27" i="1" s="1"/>
  <c r="AD68" i="13"/>
  <c r="AJ26" i="1" s="1"/>
  <c r="AN26" i="1" s="1"/>
  <c r="AD67" i="13"/>
  <c r="AJ25" i="1" s="1"/>
  <c r="AN25" i="1" s="1"/>
  <c r="G67" i="13"/>
  <c r="M67" i="13" s="1"/>
  <c r="AD66" i="13"/>
  <c r="AJ24" i="1" s="1"/>
  <c r="AN24" i="1" s="1"/>
  <c r="M66" i="13"/>
  <c r="O66" i="13" s="1"/>
  <c r="AD65" i="13"/>
  <c r="AJ23" i="1" s="1"/>
  <c r="AN23" i="1" s="1"/>
  <c r="M65" i="13"/>
  <c r="H33" i="1" s="1"/>
  <c r="L33" i="1" s="1"/>
  <c r="AD64" i="13"/>
  <c r="AF64" i="13" s="1"/>
  <c r="M64" i="13"/>
  <c r="H32" i="1" s="1"/>
  <c r="L32" i="1" s="1"/>
  <c r="AD63" i="13"/>
  <c r="AJ21" i="1" s="1"/>
  <c r="AN21" i="1" s="1"/>
  <c r="M63" i="13"/>
  <c r="H31" i="1" s="1"/>
  <c r="L31" i="1" s="1"/>
  <c r="AD62" i="13"/>
  <c r="AJ20" i="1" s="1"/>
  <c r="AN20" i="1" s="1"/>
  <c r="M62" i="13"/>
  <c r="O62" i="13" s="1"/>
  <c r="AD61" i="13"/>
  <c r="AJ19" i="1" s="1"/>
  <c r="AN19" i="1" s="1"/>
  <c r="AD60" i="13"/>
  <c r="AJ18" i="1" s="1"/>
  <c r="AN18" i="1" s="1"/>
  <c r="M60" i="13"/>
  <c r="Q60" i="13" s="1"/>
  <c r="AD59" i="13"/>
  <c r="AH59" i="13" s="1"/>
  <c r="M58" i="13"/>
  <c r="O58" i="13" s="1"/>
  <c r="M57" i="13"/>
  <c r="Q57" i="13" s="1"/>
  <c r="AD56" i="13"/>
  <c r="V35" i="1" s="1"/>
  <c r="Z35" i="1" s="1"/>
  <c r="M56" i="13"/>
  <c r="Q56" i="13" s="1"/>
  <c r="AD55" i="13"/>
  <c r="AH55" i="13" s="1"/>
  <c r="M55" i="13"/>
  <c r="H23" i="1" s="1"/>
  <c r="L23" i="1" s="1"/>
  <c r="AD54" i="13"/>
  <c r="AF54" i="13" s="1"/>
  <c r="M54" i="13"/>
  <c r="H22" i="1" s="1"/>
  <c r="L22" i="1" s="1"/>
  <c r="AD53" i="13"/>
  <c r="AF53" i="13" s="1"/>
  <c r="M53" i="13"/>
  <c r="O53" i="13" s="1"/>
  <c r="AD52" i="13"/>
  <c r="AF52" i="13" s="1"/>
  <c r="M52" i="13"/>
  <c r="O52" i="13" s="1"/>
  <c r="AD51" i="13"/>
  <c r="V30" i="1" s="1"/>
  <c r="Z30" i="1" s="1"/>
  <c r="M51" i="13"/>
  <c r="H19" i="1" s="1"/>
  <c r="L19" i="1" s="1"/>
  <c r="AD50" i="13"/>
  <c r="AF50" i="13" s="1"/>
  <c r="M50" i="13"/>
  <c r="H18" i="1" s="1"/>
  <c r="L18" i="1" s="1"/>
  <c r="B18" i="10" s="1"/>
  <c r="AD49" i="13"/>
  <c r="AH49" i="13" s="1"/>
  <c r="O64" i="13"/>
  <c r="AH68" i="13"/>
  <c r="O48" i="13"/>
  <c r="B101" i="10"/>
  <c r="B87" i="10"/>
  <c r="B86" i="10"/>
  <c r="B85" i="10"/>
  <c r="B84" i="10"/>
  <c r="B83" i="10"/>
  <c r="B82" i="10"/>
  <c r="B81" i="10"/>
  <c r="B80" i="10"/>
  <c r="B88" i="10"/>
  <c r="B90" i="10"/>
  <c r="B91" i="10"/>
  <c r="B92" i="10"/>
  <c r="B93" i="10"/>
  <c r="B94" i="10"/>
  <c r="B95" i="10"/>
  <c r="B96" i="10"/>
  <c r="B97" i="10"/>
  <c r="B98" i="10"/>
  <c r="M41" i="1"/>
  <c r="O41" i="1"/>
  <c r="M42" i="1"/>
  <c r="O42" i="1"/>
  <c r="M43" i="1"/>
  <c r="O43" i="1"/>
  <c r="M44" i="1"/>
  <c r="O44" i="1"/>
  <c r="F30" i="8" l="1"/>
  <c r="AH63" i="13"/>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V24" i="1"/>
  <c r="Z24" i="1" s="1"/>
  <c r="L27" i="1"/>
  <c r="B27" i="10" s="1"/>
  <c r="Q10" i="1"/>
  <c r="V28" i="1"/>
  <c r="Z28" i="1" s="1"/>
  <c r="Z4" i="1"/>
  <c r="AF5" i="1"/>
  <c r="AH62" i="13"/>
  <c r="Q71" i="13"/>
  <c r="AH52" i="13"/>
  <c r="Q54" i="13"/>
  <c r="V33" i="1"/>
  <c r="Z33" i="1" s="1"/>
  <c r="AJ17" i="1"/>
  <c r="AN17" i="1" s="1"/>
  <c r="F26" i="8"/>
  <c r="AF6" i="1"/>
  <c r="AH60" i="13"/>
  <c r="AH66" i="13"/>
  <c r="O71" i="13"/>
  <c r="Q48" i="13"/>
  <c r="V29" i="1"/>
  <c r="Z29" i="1" s="1"/>
  <c r="V32" i="1"/>
  <c r="Z32" i="1" s="1"/>
  <c r="AF68" i="13"/>
  <c r="AF78" i="13"/>
  <c r="O63" i="13"/>
  <c r="AH71" i="13"/>
  <c r="AF55" i="13"/>
  <c r="O75" i="13"/>
  <c r="Q58" i="13"/>
  <c r="AF62" i="13"/>
  <c r="Q66" i="13"/>
  <c r="AF71" i="13"/>
  <c r="Q63" i="13"/>
  <c r="Q75" i="13"/>
  <c r="V34" i="1"/>
  <c r="Z34" i="1" s="1"/>
  <c r="H25" i="1"/>
  <c r="L25" i="1" s="1"/>
  <c r="H30" i="1"/>
  <c r="L30" i="1" s="1"/>
  <c r="H34" i="1"/>
  <c r="L34" i="1" s="1"/>
  <c r="V20" i="1"/>
  <c r="Z20" i="1" s="1"/>
  <c r="V21" i="1"/>
  <c r="Z21" i="1" s="1"/>
  <c r="V25" i="1"/>
  <c r="Z25" i="1"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H26" i="1"/>
  <c r="H28" i="1"/>
  <c r="L28" i="1" s="1"/>
  <c r="G61" i="13"/>
  <c r="M61" i="13" s="1"/>
  <c r="Q61" i="13" s="1"/>
  <c r="AH75" i="13"/>
  <c r="Q68" i="13"/>
  <c r="AF66" i="13"/>
  <c r="AF3" i="1"/>
  <c r="AF72" i="13"/>
  <c r="O56" i="13"/>
  <c r="AH78" i="13"/>
  <c r="AH65" i="13"/>
  <c r="Q53" i="13"/>
  <c r="AH58" i="13"/>
  <c r="AF48" i="13"/>
  <c r="AH72" i="13"/>
  <c r="AF49" i="13"/>
  <c r="H21" i="1"/>
  <c r="L21" i="1" s="1"/>
  <c r="H24" i="1"/>
  <c r="L24" i="1" s="1"/>
  <c r="AJ22" i="1"/>
  <c r="AN22" i="1" s="1"/>
  <c r="AJ33" i="1"/>
  <c r="AN33" i="1"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1" i="8"/>
  <c r="F29" i="8"/>
  <c r="AF73" i="13"/>
  <c r="AJ31" i="1"/>
  <c r="AN31" i="1" s="1"/>
  <c r="AH73" i="13"/>
  <c r="Q69" i="13"/>
  <c r="O69" i="13"/>
  <c r="V16" i="1"/>
  <c r="Z16" i="1" s="1"/>
  <c r="B37" i="10" s="1"/>
  <c r="Q67" i="13"/>
  <c r="H35" i="1"/>
  <c r="L35" i="1" s="1"/>
  <c r="O67" i="13"/>
  <c r="T7" i="1"/>
  <c r="Z6" i="1"/>
  <c r="F13" i="8"/>
  <c r="F10" i="8"/>
  <c r="U34" i="13"/>
  <c r="AN41" i="1" s="1"/>
  <c r="F14" i="8"/>
  <c r="Q70" i="13"/>
  <c r="K40" i="1" l="1"/>
  <c r="M40" i="1" s="1"/>
  <c r="Q79" i="13"/>
  <c r="O79" i="13"/>
  <c r="E2" i="7"/>
  <c r="AF10" i="1"/>
  <c r="S79" i="13"/>
  <c r="B44" i="13"/>
  <c r="H10" i="1"/>
  <c r="H29" i="1"/>
  <c r="L29" i="1" s="1"/>
  <c r="O61" i="13"/>
  <c r="L26" i="1"/>
  <c r="K48" i="1"/>
  <c r="F18" i="8"/>
  <c r="F21" i="8" s="1"/>
  <c r="AF19" i="13"/>
  <c r="F17" i="8"/>
  <c r="O40" i="1" l="1"/>
  <c r="B9" i="10"/>
  <c r="B7" i="10"/>
  <c r="AN43" i="1"/>
  <c r="AP44" i="1" s="1"/>
  <c r="B48" i="1"/>
  <c r="B26" i="10"/>
  <c r="F19" i="8"/>
  <c r="F22" i="8" s="1"/>
  <c r="F20" i="8"/>
  <c r="AP43" i="1" l="1"/>
  <c r="B14" i="10" s="1"/>
  <c r="F23" i="8"/>
  <c r="AD7" i="1" l="1"/>
  <c r="B6" i="10" s="1"/>
</calcChain>
</file>

<file path=xl/sharedStrings.xml><?xml version="1.0" encoding="utf-8"?>
<sst xmlns="http://schemas.openxmlformats.org/spreadsheetml/2006/main" count="1132" uniqueCount="729">
  <si>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</si>
  <si>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</si>
  <si>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</si>
  <si>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</si>
  <si>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</si>
  <si>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</si>
  <si>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此处应有头像</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</si>
  <si>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</si>
  <si>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</si>
  <si>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</si>
  <si>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</si>
  <si>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</si>
  <si>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</si>
  <si>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</si>
  <si>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</si>
  <si>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</si>
  <si>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</si>
  <si>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</si>
  <si>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</si>
  <si>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</si>
  <si>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</si>
  <si>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</si>
  <si>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</si>
  <si>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</si>
  <si>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</si>
  <si>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</si>
  <si>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</si>
  <si>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</si>
  <si>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</si>
  <si>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</si>
  <si>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</si>
  <si>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</si>
  <si>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</si>
  <si>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</si>
  <si>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</si>
  <si>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</si>
  <si>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</si>
  <si>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</si>
  <si>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</si>
  <si>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</si>
  <si>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</si>
  <si>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</si>
  <si>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</si>
  <si>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</si>
  <si>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</si>
  <si>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</si>
  <si>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</si>
  <si>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</si>
  <si>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</si>
  <si>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</si>
  <si>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</si>
  <si>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</si>
  <si>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</si>
  <si>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</si>
  <si>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</si>
  <si>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</si>
  <si>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</si>
  <si>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</si>
  <si>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</si>
  <si>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</si>
  <si>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</si>
  <si>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</si>
  <si>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</si>
  <si>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</si>
  <si>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</si>
  <si>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</si>
  <si>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</si>
  <si>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</si>
  <si>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</si>
  <si>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</si>
  <si>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</si>
  <si>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</si>
  <si>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</si>
  <si>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</si>
  <si>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</si>
  <si>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</si>
  <si>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</si>
  <si>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</si>
  <si>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</si>
  <si>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</si>
  <si>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</si>
  <si>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</si>
  <si>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</si>
  <si>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</si>
  <si>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</si>
  <si>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</si>
  <si>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</si>
  <si>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</si>
  <si>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</si>
  <si>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</si>
  <si>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</si>
  <si>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</si>
  <si>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</si>
  <si>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</si>
  <si>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</si>
  <si>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</si>
  <si>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</si>
  <si>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</si>
  <si>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</si>
  <si>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</si>
  <si>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</si>
  <si>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</si>
  <si>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</si>
  <si>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</si>
  <si>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</si>
  <si>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</si>
  <si>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</si>
  <si>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</si>
  <si>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</si>
  <si>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</si>
  <si>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</si>
  <si>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</si>
  <si>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</si>
  <si>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</si>
  <si>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</si>
  <si>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</si>
  <si>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</si>
  <si>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</si>
  <si>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</si>
  <si>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</si>
  <si>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</si>
  <si>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</si>
  <si>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</si>
  <si>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</si>
  <si>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</si>
  <si>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</si>
  <si>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</si>
  <si>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</si>
  <si>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</si>
  <si>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</si>
  <si>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</si>
  <si>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</si>
  <si>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</si>
  <si>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</si>
  <si>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</si>
  <si>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</si>
  <si>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</si>
  <si>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</si>
  <si>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</si>
  <si>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</si>
  <si>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</si>
  <si>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</si>
  <si>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</si>
  <si>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</si>
  <si>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</si>
  <si>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</si>
  <si>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</si>
  <si>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</si>
  <si>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</si>
  <si>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</si>
  <si>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</si>
  <si>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</si>
  <si>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</si>
  <si>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</si>
  <si>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</si>
  <si>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</si>
  <si>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</si>
  <si>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</si>
  <si>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</si>
  <si>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</si>
  <si>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</si>
  <si>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</si>
  <si>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</si>
  <si>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</si>
  <si>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</si>
  <si>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</si>
  <si>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</si>
  <si>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</si>
  <si>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</si>
  <si>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</si>
  <si>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</si>
  <si>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</si>
  <si>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</si>
  <si>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</si>
  <si>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</si>
  <si>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</si>
  <si>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</si>
  <si>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</si>
  <si>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</si>
  <si>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</si>
  <si>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</si>
  <si>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</si>
  <si>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</si>
  <si>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</si>
  <si>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</si>
  <si>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</si>
  <si>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</si>
  <si>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</si>
  <si>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</si>
  <si>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</si>
  <si>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</si>
  <si>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</si>
  <si>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</si>
  <si>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</si>
  <si>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</si>
  <si>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</si>
  <si>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</si>
  <si>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</si>
  <si>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</si>
  <si>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</si>
  <si>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</si>
  <si>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</si>
  <si>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</si>
  <si>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</si>
  <si>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</si>
  <si>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</si>
  <si>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</si>
  <si>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</si>
  <si>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</si>
  <si>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</si>
  <si>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</si>
  <si>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</si>
  <si>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</si>
  <si>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</si>
  <si>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</si>
  <si>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</si>
  <si>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</si>
  <si>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</si>
  <si>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</si>
  <si>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</si>
  <si>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</si>
  <si>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</si>
  <si>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</si>
  <si>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</si>
  <si>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</si>
  <si>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</si>
  <si>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</si>
  <si>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</si>
  <si>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</si>
  <si>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</si>
  <si>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</si>
  <si>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</si>
  <si>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</si>
  <si>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</si>
  <si>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</si>
  <si>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</si>
  <si>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</si>
  <si>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</si>
  <si>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</si>
  <si>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</si>
  <si>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</si>
  <si>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</si>
  <si>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</si>
  <si>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</si>
  <si>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</si>
  <si>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</si>
  <si>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</si>
  <si>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</si>
  <si>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</si>
  <si>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</si>
  <si>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</si>
  <si>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</si>
  <si>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</si>
  <si>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</si>
  <si>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</si>
  <si>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</si>
  <si>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</si>
  <si>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</si>
  <si>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</si>
  <si>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</si>
  <si>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</si>
  <si>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</si>
  <si>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</si>
  <si>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</si>
  <si>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</si>
  <si>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</si>
  <si>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</si>
  <si>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</si>
  <si>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</si>
  <si>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</si>
  <si>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</si>
  <si>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</si>
  <si>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</si>
  <si>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</si>
  <si>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</si>
  <si>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</si>
  <si>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</si>
  <si>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</si>
  <si>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</si>
  <si>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</si>
  <si>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</si>
  <si>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</si>
  <si>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</si>
  <si>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</si>
  <si>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</si>
  <si>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</si>
  <si>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</si>
  <si>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</si>
  <si>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</si>
  <si>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</si>
  <si>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</si>
  <si>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</si>
  <si>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</si>
  <si>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</si>
  <si>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</si>
  <si>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</si>
  <si>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</si>
  <si>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</si>
  <si>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</si>
  <si>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</si>
  <si>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</si>
  <si>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</si>
  <si>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</si>
  <si>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</si>
  <si>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</si>
  <si>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</si>
  <si>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</si>
  <si>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</si>
  <si>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</si>
  <si>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</si>
  <si>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</si>
  <si>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</si>
  <si>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</si>
  <si>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</si>
  <si>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</si>
  <si>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</si>
  <si>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</si>
  <si>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</si>
  <si>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</si>
  <si>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</si>
  <si>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</si>
  <si>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</si>
  <si>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</si>
  <si>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</si>
  <si>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</si>
  <si>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</si>
  <si>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</si>
  <si>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</si>
  <si>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</si>
  <si>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</si>
  <si>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</si>
  <si>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</si>
  <si>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</si>
  <si>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</si>
  <si>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</si>
  <si>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</si>
  <si>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</si>
  <si>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</si>
  <si>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</si>
  <si>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</si>
  <si>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</si>
  <si>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</si>
  <si>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</si>
  <si>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</si>
  <si>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</si>
  <si>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</si>
  <si>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</si>
  <si>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</si>
  <si>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</si>
  <si>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</si>
  <si>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</si>
  <si>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</si>
  <si>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</si>
  <si>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</si>
  <si>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</si>
  <si>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</si>
  <si>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</si>
  <si>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</si>
  <si>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</si>
  <si>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</si>
  <si>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</si>
  <si>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</si>
  <si>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</si>
  <si>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</si>
  <si>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</si>
  <si>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</si>
  <si>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</si>
  <si>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</si>
  <si>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</si>
  <si>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</si>
  <si>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</si>
  <si>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</si>
  <si>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</si>
  <si>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</si>
  <si>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</si>
  <si>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</si>
  <si>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</si>
  <si>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</si>
  <si>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</si>
  <si>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</si>
  <si>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</si>
  <si>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</si>
  <si>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</si>
  <si>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</si>
  <si>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</si>
  <si>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</si>
  <si>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</si>
  <si>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</si>
  <si>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</si>
  <si>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</si>
  <si>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</si>
  <si>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</si>
  <si>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</si>
  <si>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</si>
  <si>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</si>
  <si>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</si>
  <si>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</si>
  <si>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</si>
  <si>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</si>
  <si>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</si>
  <si>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</si>
  <si>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</si>
  <si>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</si>
  <si>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</si>
  <si>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</si>
  <si>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</si>
  <si>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</si>
  <si>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</si>
  <si>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</si>
  <si>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</si>
  <si>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</si>
  <si>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</si>
  <si>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</si>
  <si>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</si>
  <si>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</si>
  <si>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</si>
  <si>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</si>
  <si>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</si>
  <si>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</si>
  <si>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</si>
  <si>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</si>
  <si>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</si>
  <si>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</si>
  <si>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</si>
  <si>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</si>
  <si>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</si>
  <si>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</si>
  <si>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</si>
  <si>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</si>
  <si>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</si>
  <si>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</si>
  <si>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</si>
  <si>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</si>
  <si>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</si>
  <si>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</si>
  <si>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</si>
  <si>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</si>
  <si>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</si>
  <si>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</si>
  <si>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</si>
  <si>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</si>
  <si>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</si>
  <si>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</si>
  <si>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</si>
  <si>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</si>
  <si>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</si>
  <si>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</si>
  <si>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</si>
  <si>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</si>
  <si>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</si>
  <si>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</si>
  <si>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</si>
  <si>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</si>
  <si>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</si>
  <si>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</si>
  <si>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</si>
  <si>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</si>
  <si>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</si>
  <si>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</si>
  <si>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</si>
  <si>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</si>
  <si>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</si>
  <si>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</si>
  <si>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</si>
  <si>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</si>
  <si>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</si>
  <si>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</si>
  <si>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</si>
  <si>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</si>
  <si>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</si>
  <si>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</si>
  <si>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</si>
  <si>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</si>
  <si>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</si>
  <si>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</si>
  <si>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</si>
  <si>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</si>
  <si>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</si>
  <si>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</si>
  <si>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</si>
  <si>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</si>
  <si>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</si>
  <si>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</si>
  <si>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</si>
  <si>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</si>
  <si>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</si>
  <si>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</si>
  <si>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</si>
  <si>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</si>
  <si>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</si>
  <si>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</si>
  <si>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</si>
  <si>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</si>
  <si>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</si>
  <si>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</si>
  <si>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</si>
  <si>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</si>
  <si>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</si>
  <si>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</si>
  <si>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</si>
  <si>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</si>
  <si>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</si>
  <si>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</si>
  <si>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</si>
  <si>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</si>
  <si>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</si>
  <si>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</si>
  <si>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</si>
  <si>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</si>
  <si>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</si>
  <si>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</si>
  <si>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</si>
  <si>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</si>
  <si>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</si>
  <si>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</si>
  <si>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</si>
  <si>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</si>
  <si>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</si>
  <si>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</si>
  <si>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</si>
  <si>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</si>
  <si>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</si>
  <si>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</si>
  <si>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</si>
  <si>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</si>
  <si>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</si>
  <si>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</si>
  <si>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</si>
  <si>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</si>
  <si>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</si>
  <si>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</si>
  <si>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</si>
  <si>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</si>
  <si>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</si>
  <si>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</si>
  <si>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</si>
  <si>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</si>
  <si>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</si>
  <si>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</si>
  <si>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</si>
  <si>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</si>
  <si>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</si>
  <si>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</si>
  <si>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</si>
  <si>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</si>
  <si>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</si>
  <si>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</si>
  <si>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</si>
  <si>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</si>
  <si>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</si>
  <si>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</si>
  <si>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</si>
  <si>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</si>
  <si>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</si>
  <si>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</si>
  <si>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</si>
  <si>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</si>
  <si>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</si>
  <si>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</si>
  <si>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</si>
  <si>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</si>
  <si>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</si>
  <si>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</si>
  <si>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</si>
  <si>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</si>
  <si>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</si>
  <si>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</si>
  <si>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</si>
  <si>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</si>
  <si>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</si>
  <si>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</si>
  <si>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</si>
  <si>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</si>
  <si>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</si>
  <si>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</si>
  <si>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</si>
  <si>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</si>
  <si>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1920s</t>
  </si>
  <si>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</si>
  <si>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</si>
  <si>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</si>
  <si>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</si>
  <si>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</si>
  <si>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</si>
  <si>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</si>
  <si>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</si>
  <si>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</si>
  <si>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</si>
  <si>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</si>
  <si>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</si>
  <si>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</si>
  <si>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</si>
  <si>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</si>
  <si>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</si>
  <si>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</si>
  <si>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</si>
  <si>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</si>
  <si>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</si>
  <si>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</si>
  <si>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</si>
  <si>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</si>
  <si>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</si>
  <si>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</si>
  <si>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</si>
  <si>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</si>
  <si>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</si>
  <si>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</si>
  <si>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</si>
  <si>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</si>
  <si>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</si>
  <si>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</si>
  <si>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</si>
  <si>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</si>
  <si>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</si>
  <si>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</si>
  <si>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</si>
  <si>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</si>
  <si>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t>示例 - 田宫真莉[秋叶]：泷上事务所的新人律师，有点孩子气。</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</si>
  <si>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</si>
  <si>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</si>
  <si>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</si>
  <si>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</si>
  <si>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</si>
  <si>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</si>
  <si>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</si>
  <si>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</si>
  <si>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</si>
  <si>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</si>
  <si>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</si>
  <si>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</si>
  <si>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</si>
  <si>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</si>
  <si>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</si>
  <si>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</si>
  <si>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</si>
  <si>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</si>
  <si>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</si>
  <si>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</si>
  <si>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</si>
  <si>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</si>
  <si>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</si>
  <si>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</si>
  <si>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</si>
  <si>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</si>
  <si>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</si>
  <si>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</si>
  <si>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</si>
  <si>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</si>
  <si>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</si>
  <si>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</si>
  <si>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</si>
  <si>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</si>
  <si>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</si>
  <si>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</si>
  <si>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</si>
  <si>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</si>
  <si>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</si>
  <si>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</si>
  <si>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</si>
  <si>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</si>
  <si>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</si>
  <si>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</si>
  <si>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</si>
  <si>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</si>
  <si>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</si>
  <si>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</si>
  <si>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</si>
  <si>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</si>
  <si>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</si>
  <si>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</si>
  <si>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</si>
  <si>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</si>
  <si>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</si>
  <si>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</si>
  <si>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</si>
  <si>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</si>
  <si>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</si>
  <si>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</si>
  <si>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</si>
  <si>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</si>
  <si>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</si>
  <si>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</si>
  <si>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</si>
  <si>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</si>
  <si>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</si>
  <si>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</si>
  <si>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</si>
  <si>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</si>
  <si>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</si>
  <si>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</si>
  <si>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</si>
  <si>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</si>
  <si>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</si>
  <si>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</si>
  <si>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</si>
  <si>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</si>
  <si>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</si>
  <si>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</si>
  <si>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</si>
  <si>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</si>
  <si>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</si>
  <si>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</si>
  <si>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</si>
  <si>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</si>
  <si>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</si>
  <si>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</si>
  <si>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</si>
  <si>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</si>
  <si>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</si>
  <si>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</si>
  <si>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</si>
  <si>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</si>
  <si>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</si>
  <si>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</si>
  <si>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</si>
  <si>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</si>
  <si>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</si>
  <si>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</si>
  <si>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</si>
  <si>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</si>
  <si>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</si>
  <si>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</si>
  <si>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侦查</t>
    <phoneticPr fontId="2" type="noConversion"/>
  </si>
  <si>
    <t>教育×2＋智力×2</t>
    <phoneticPr fontId="2" type="noConversion"/>
  </si>
  <si>
    <r>
      <t>在背景条目中选择对你的调查员最为重要的一项，作为其</t>
    </r>
    <r>
      <rPr>
        <b/>
        <sz val="10"/>
        <color rgb="FFC00000"/>
        <rFont val="微软雅黑"/>
        <family val="2"/>
        <charset val="134"/>
      </rPr>
      <t>关键连接</t>
    </r>
    <r>
      <rPr>
        <sz val="10"/>
        <color theme="1"/>
        <rFont val="微软雅黑"/>
        <family val="2"/>
        <charset val="134"/>
      </rPr>
      <t>。</t>
    </r>
    <phoneticPr fontId="2" type="noConversion"/>
  </si>
  <si>
    <t>古籍、法术和魔法物品</t>
    <phoneticPr fontId="2" type="noConversion"/>
  </si>
  <si>
    <t>根据Chaosium在官网发布的Call of Cthulhu Character Sheet - Modern - Full Autocalc制作，部分内容有改动。</t>
    <phoneticPr fontId="2" type="noConversion"/>
  </si>
  <si>
    <t>克苏鲁的呼唤第七版角色扮演游戏 半自动人物卡  Version2.0.4(桌面)</t>
    <phoneticPr fontId="2" type="noConversion"/>
  </si>
  <si>
    <t>秋叶EXODUS  2018/11/13</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</si>
</sst>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 "/>
    <numFmt numFmtId="177" formatCode="0_);[Red]\(0\)"/>
    <numFmt numFmtId="178" formatCode="\+0;\-0;\±0"/>
    <numFmt numFmtId="179" formatCode="\/0_ "/>
    <numFmt numFmtId="180" formatCode="0_ ;[Red]\-0\ "/>
  </numFmts>
  <fonts count="38"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
      <sz val="11"/>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1">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2" xfId="0" applyNumberFormat="1" applyFont="1" applyFill="1" applyBorder="1" applyAlignment="1" applyProtection="1">
      <alignment horizontal="left" vertical="center"/>
      <protection locked="0"/>
    </xf>
    <xf numFmtId="0" fontId="17" fillId="3" borderId="43" xfId="0" applyNumberFormat="1" applyFont="1" applyFill="1" applyBorder="1" applyAlignment="1" applyProtection="1">
      <alignment horizontal="left" vertical="center"/>
      <protection locked="0"/>
    </xf>
    <xf numFmtId="0" fontId="17" fillId="3" borderId="44"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30"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0" xfId="0" applyFont="1" applyFill="1" applyProtection="1">
      <alignment vertical="center"/>
      <protection hidden="1"/>
    </xf>
    <xf numFmtId="0" fontId="23"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6"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5"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5"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177" fontId="3" fillId="0" borderId="9" xfId="0" applyNumberFormat="1" applyFont="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5"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1" fontId="3" fillId="0" borderId="9" xfId="0" applyNumberFormat="1" applyFont="1" applyBorder="1" applyAlignment="1" applyProtection="1">
      <alignment horizontal="center" vertical="center"/>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7"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47"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hidden="1"/>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0"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right" vertical="center"/>
      <protection hidden="1"/>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6"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3" borderId="48"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NumberFormat="1"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NumberFormat="1" applyFont="1" applyFill="1" applyBorder="1" applyAlignment="1" applyProtection="1">
      <alignment horizontal="center" vertical="center"/>
      <protection hidden="1"/>
    </xf>
    <xf numFmtId="0" fontId="3" fillId="0" borderId="25" xfId="0" applyNumberFormat="1" applyFont="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32" xfId="0" applyNumberFormat="1" applyFont="1" applyBorder="1" applyAlignment="1" applyProtection="1">
      <alignment horizontal="center" vertical="center"/>
      <protection hidden="1"/>
    </xf>
    <xf numFmtId="0" fontId="3" fillId="0" borderId="57"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56" xfId="0" applyNumberFormat="1" applyFont="1" applyBorder="1" applyAlignment="1" applyProtection="1">
      <alignment horizontal="center" vertical="center"/>
      <protection hidden="1"/>
    </xf>
    <xf numFmtId="0" fontId="3" fillId="3" borderId="56"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1"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7" xfId="0" applyNumberFormat="1" applyFont="1" applyFill="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3" borderId="21" xfId="0" applyFont="1" applyFill="1" applyBorder="1" applyAlignment="1" applyProtection="1">
      <alignment horizontal="center" vertical="center"/>
      <protection hidden="1"/>
    </xf>
    <xf numFmtId="49" fontId="3" fillId="0" borderId="39"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5" xfId="0"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right" vertical="center"/>
      <protection locked="0"/>
    </xf>
    <xf numFmtId="0" fontId="22" fillId="0" borderId="0" xfId="0" applyFont="1" applyBorder="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Border="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0"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9"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3"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3"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1"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2"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9"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1"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2" xfId="0" applyNumberFormat="1" applyFont="1" applyFill="1" applyBorder="1" applyAlignment="1" applyProtection="1">
      <alignment horizontal="left" vertical="center"/>
      <protection hidden="1"/>
    </xf>
    <xf numFmtId="0" fontId="22" fillId="3" borderId="0" xfId="0" applyFont="1" applyFill="1" applyBorder="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3" xfId="0" applyNumberFormat="1" applyFont="1" applyFill="1" applyBorder="1" applyAlignment="1" applyProtection="1">
      <alignment horizontal="left" vertical="center"/>
      <protection hidden="1"/>
    </xf>
    <xf numFmtId="0" fontId="3" fillId="4" borderId="56"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Border="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47" xfId="0" applyNumberFormat="1" applyFont="1" applyFill="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3" borderId="15"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49" fontId="3" fillId="3" borderId="16" xfId="0" applyNumberFormat="1" applyFont="1" applyFill="1" applyBorder="1" applyAlignment="1" applyProtection="1">
      <alignment horizontal="left" vertical="center"/>
      <protection locked="0"/>
    </xf>
    <xf numFmtId="49" fontId="3" fillId="0" borderId="46"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3" fillId="4" borderId="21"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123825</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123825</xdr:colOff>
          <xdr:row>17</xdr:row>
          <xdr:rowOff>9525</xdr:rowOff>
        </xdr:from>
        <xdr:to>
          <xdr:col>22</xdr:col>
          <xdr:colOff>152400</xdr:colOff>
          <xdr:row>19</xdr:row>
          <xdr:rowOff>9525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100</xdr:row>
          <xdr:rowOff>66675</xdr:rowOff>
        </xdr:from>
        <xdr:to>
          <xdr:col>11</xdr:col>
          <xdr:colOff>57150</xdr:colOff>
          <xdr:row>101</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zh-CN" altLang="en-US" sz="1000" b="0" i="0" u="none" strike="noStrike" baseline="0">
                  <a:solidFill>
                    <a:srgbClr val="000000"/>
                  </a:solidFill>
                  <a:latin typeface="微软雅黑"/>
                  <a:ea typeface="微软雅黑"/>
                </a:rPr>
                <a:t>点击这里来隐藏不必要的标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47625</xdr:rowOff>
        </xdr:from>
        <xdr:to>
          <xdr:col>9</xdr:col>
          <xdr:colOff>66675</xdr:colOff>
          <xdr:row>33</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85725</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lp%20Cthulhu&#21322;&#33258;&#21160;&#20154;&#29289;&#21345;v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建卡"/>
      <sheetName val="人物卡"/>
      <sheetName val="技能专攻"/>
      <sheetName val="职业列表"/>
      <sheetName val="英雄天赋"/>
      <sheetName val="资产对照表"/>
      <sheetName val="掷骰"/>
      <sheetName val="txt输出"/>
      <sheetName val="附表"/>
      <sheetName val="Pulp Cthulhu半自动人物卡v0.0.1"/>
    </sheetNames>
    <definedNames>
      <definedName name="F5F5F5"/>
    </definedNames>
    <sheetDataSet>
      <sheetData sheetId="0">
        <row r="31">
          <cell r="G31" t="str">
            <v>——</v>
          </cell>
        </row>
        <row r="32">
          <cell r="G32" t="str">
            <v>——</v>
          </cell>
        </row>
        <row r="33">
          <cell r="G33" t="str">
            <v>——</v>
          </cell>
        </row>
        <row r="34">
          <cell r="G34" t="str">
            <v>——</v>
          </cell>
        </row>
        <row r="38">
          <cell r="E38">
            <v>1</v>
          </cell>
        </row>
      </sheetData>
      <sheetData sheetId="1">
        <row r="3">
          <cell r="R3">
            <v>0</v>
          </cell>
          <cell r="X3">
            <v>0</v>
          </cell>
          <cell r="AD3">
            <v>0</v>
          </cell>
        </row>
        <row r="5">
          <cell r="R5">
            <v>0</v>
          </cell>
          <cell r="X5">
            <v>0</v>
          </cell>
          <cell r="AD5">
            <v>0</v>
          </cell>
        </row>
        <row r="7">
          <cell r="R7">
            <v>0</v>
          </cell>
          <cell r="X7">
            <v>0</v>
          </cell>
          <cell r="AD7">
            <v>8</v>
          </cell>
        </row>
        <row r="10">
          <cell r="E10">
            <v>0</v>
          </cell>
          <cell r="H10">
            <v>0</v>
          </cell>
          <cell r="N10">
            <v>0</v>
          </cell>
          <cell r="Q10">
            <v>99</v>
          </cell>
          <cell r="W10">
            <v>0</v>
          </cell>
          <cell r="AD10">
            <v>0</v>
          </cell>
          <cell r="AF10">
            <v>0</v>
          </cell>
        </row>
        <row r="24">
          <cell r="H24">
            <v>0</v>
          </cell>
        </row>
        <row r="39">
          <cell r="AN39" t="str">
            <v>错误</v>
          </cell>
        </row>
        <row r="41">
          <cell r="AN41" t="str">
            <v>错误</v>
          </cell>
        </row>
        <row r="43">
          <cell r="AN43">
            <v>0</v>
          </cell>
        </row>
      </sheetData>
      <sheetData sheetId="2"/>
      <sheetData sheetId="3"/>
      <sheetData sheetId="4">
        <row r="4">
          <cell r="C4" t="str">
            <v>明察秋毫</v>
          </cell>
        </row>
        <row r="5">
          <cell r="C5" t="str">
            <v>快速愈合</v>
          </cell>
        </row>
        <row r="6">
          <cell r="C6" t="str">
            <v>昏暗视觉</v>
          </cell>
        </row>
        <row r="7">
          <cell r="C7" t="str">
            <v>耐力卓绝</v>
          </cell>
        </row>
        <row r="8">
          <cell r="C8" t="str">
            <v>天生神力</v>
          </cell>
        </row>
        <row r="9">
          <cell r="C9" t="str">
            <v>千杯不醉</v>
          </cell>
        </row>
        <row r="10">
          <cell r="C10" t="str">
            <v>强健体魄</v>
          </cell>
        </row>
        <row r="11">
          <cell r="C11" t="str">
            <v>铁骨铮铮</v>
          </cell>
        </row>
        <row r="12">
          <cell r="C12" t="str">
            <v>耳听八方</v>
          </cell>
        </row>
        <row r="13">
          <cell r="C13" t="str">
            <v>魅力四射</v>
          </cell>
        </row>
        <row r="17">
          <cell r="C17" t="str">
            <v>坚定不移</v>
          </cell>
        </row>
        <row r="18">
          <cell r="C18" t="str">
            <v>百折不挠</v>
          </cell>
        </row>
        <row r="19">
          <cell r="C19" t="str">
            <v>决心坚定</v>
          </cell>
        </row>
        <row r="20">
          <cell r="C20" t="str">
            <v>一目十行</v>
          </cell>
        </row>
        <row r="21">
          <cell r="C21" t="str">
            <v>语言学家</v>
          </cell>
        </row>
        <row r="22">
          <cell r="C22" t="str">
            <v>魔法亲和</v>
          </cell>
        </row>
        <row r="23">
          <cell r="C23" t="str">
            <v>过目不忘</v>
          </cell>
        </row>
        <row r="24">
          <cell r="C24" t="str">
            <v>博学多才</v>
          </cell>
        </row>
        <row r="25">
          <cell r="C25" t="str">
            <v>灵能觉醒</v>
          </cell>
        </row>
        <row r="26">
          <cell r="C26" t="str">
            <v>足智多谋</v>
          </cell>
        </row>
        <row r="30">
          <cell r="C30" t="str">
            <v>处变不惊</v>
          </cell>
        </row>
        <row r="31">
          <cell r="C31" t="str">
            <v>专注打击</v>
          </cell>
        </row>
        <row r="32">
          <cell r="C32" t="str">
            <v>快速装填</v>
          </cell>
        </row>
        <row r="33">
          <cell r="C33" t="str">
            <v>身手敏捷</v>
          </cell>
        </row>
        <row r="34">
          <cell r="C34" t="str">
            <v>目光如炬</v>
          </cell>
        </row>
        <row r="35">
          <cell r="C35" t="str">
            <v>技巧卓绝</v>
          </cell>
        </row>
        <row r="36">
          <cell r="C36" t="str">
            <v>疾风连击</v>
          </cell>
        </row>
        <row r="37">
          <cell r="C37" t="str">
            <v>动如脱兔</v>
          </cell>
        </row>
        <row r="38">
          <cell r="C38" t="str">
            <v>快速瞄准</v>
          </cell>
        </row>
        <row r="39">
          <cell r="C39" t="str">
            <v>手枪专精</v>
          </cell>
        </row>
        <row r="43">
          <cell r="C43" t="str">
            <v>凶神恶煞</v>
          </cell>
        </row>
        <row r="44">
          <cell r="C44" t="str">
            <v>奇妙道具</v>
          </cell>
        </row>
        <row r="45">
          <cell r="C45" t="str">
            <v>吉人天相</v>
          </cell>
        </row>
        <row r="46">
          <cell r="C46" t="str">
            <v>神话知识</v>
          </cell>
        </row>
        <row r="47">
          <cell r="C47" t="str">
            <v>怪奇技术</v>
          </cell>
        </row>
        <row r="48">
          <cell r="C48" t="str">
            <v>遁入暗影</v>
          </cell>
        </row>
        <row r="49">
          <cell r="C49" t="str">
            <v>能工巧匠</v>
          </cell>
        </row>
        <row r="50">
          <cell r="C50" t="str">
            <v>动物朋友</v>
          </cell>
        </row>
        <row r="51">
          <cell r="C51" t="str">
            <v>伪装大师</v>
          </cell>
        </row>
        <row r="52">
          <cell r="C52" t="str">
            <v>早有准备</v>
          </cell>
        </row>
      </sheetData>
      <sheetData sheetId="5"/>
      <sheetData sheetId="6"/>
      <sheetData sheetId="7"/>
      <sheetData sheetId="8">
        <row r="23">
          <cell r="F23">
            <v>8</v>
          </cell>
        </row>
      </sheetData>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40"/>
  <sheetViews>
    <sheetView showGridLines="0" showRowColHeaders="0" tabSelected="1" zoomScale="115" zoomScaleNormal="115" workbookViewId="0">
      <selection activeCell="E8" sqref="E8:G9"/>
    </sheetView>
  </sheetViews>
  <sheetFormatPr defaultColWidth="3.25" defaultRowHeight="16.5" x14ac:dyDescent="0.2"/>
  <cols>
    <col min="1" max="1" width="3.25" style="41"/>
    <col min="2" max="16384" width="3.25" style="38"/>
  </cols>
  <sheetData>
    <row r="1" spans="1:38" s="36" customFormat="1" x14ac:dyDescent="0.2">
      <c r="A1" s="3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35"/>
    </row>
    <row r="2" spans="1:38" s="36" customFormat="1" ht="27.75" x14ac:dyDescent="0.2">
      <c r="A2" s="34"/>
      <c r="B2" s="132" t="s">
        <v>557</v>
      </c>
      <c r="C2" s="132"/>
      <c r="D2" s="132"/>
      <c r="E2" s="132"/>
      <c r="F2" s="132"/>
      <c r="G2" s="132"/>
      <c r="H2" s="132"/>
      <c r="I2" s="132"/>
      <c r="J2" s="132"/>
      <c r="K2" s="132"/>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35"/>
    </row>
    <row r="3" spans="1:38" s="36" customFormat="1" x14ac:dyDescent="0.2">
      <c r="A3" s="34"/>
      <c r="B3" s="125" t="s">
        <v>598</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81"/>
    </row>
    <row r="4" spans="1:38" s="36" customFormat="1" x14ac:dyDescent="0.2">
      <c r="A4" s="34"/>
      <c r="B4" s="126" t="s">
        <v>710</v>
      </c>
      <c r="C4" s="126"/>
      <c r="D4" s="126"/>
      <c r="E4" s="126"/>
      <c r="F4" s="126"/>
      <c r="G4" s="126"/>
      <c r="H4" s="118"/>
      <c r="I4" s="126" t="s">
        <v>711</v>
      </c>
      <c r="J4" s="126"/>
      <c r="K4" s="126"/>
      <c r="L4" s="126"/>
      <c r="M4" s="126"/>
      <c r="N4" s="126"/>
      <c r="O4" s="118"/>
      <c r="P4" s="126" t="s">
        <v>712</v>
      </c>
      <c r="Q4" s="126"/>
      <c r="R4" s="126"/>
      <c r="S4" s="126"/>
      <c r="T4" s="126"/>
      <c r="U4" s="126"/>
      <c r="V4" s="37"/>
      <c r="W4" s="37"/>
      <c r="X4" s="37"/>
      <c r="Y4" s="37"/>
      <c r="Z4" s="37"/>
      <c r="AA4" s="338" t="s">
        <v>713</v>
      </c>
      <c r="AB4" s="338"/>
      <c r="AC4" s="338"/>
      <c r="AD4" s="338"/>
      <c r="AE4" s="338"/>
      <c r="AF4" s="338"/>
      <c r="AG4" s="338"/>
      <c r="AH4" s="338"/>
      <c r="AI4" s="338"/>
      <c r="AJ4" s="81"/>
    </row>
    <row r="5" spans="1:38" s="36" customFormat="1" x14ac:dyDescent="0.2">
      <c r="A5" s="34"/>
      <c r="B5" s="125" t="s">
        <v>558</v>
      </c>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81"/>
    </row>
    <row r="6" spans="1:38" s="36" customFormat="1" x14ac:dyDescent="0.2">
      <c r="A6" s="34"/>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35"/>
    </row>
    <row r="7" spans="1:38" s="36" customFormat="1" ht="17.25" thickBot="1" x14ac:dyDescent="0.25">
      <c r="A7" s="34"/>
      <c r="B7" s="125" t="s">
        <v>599</v>
      </c>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35"/>
    </row>
    <row r="8" spans="1:38" s="36" customFormat="1" x14ac:dyDescent="0.2">
      <c r="A8" s="34"/>
      <c r="B8" s="133" t="s">
        <v>559</v>
      </c>
      <c r="C8" s="134"/>
      <c r="D8" s="134"/>
      <c r="E8" s="200" t="s">
        <v>577</v>
      </c>
      <c r="F8" s="200"/>
      <c r="G8" s="201"/>
      <c r="H8" s="3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35"/>
    </row>
    <row r="9" spans="1:38" s="36" customFormat="1" ht="17.25" thickBot="1" x14ac:dyDescent="0.25">
      <c r="A9" s="34"/>
      <c r="B9" s="135"/>
      <c r="C9" s="136"/>
      <c r="D9" s="136"/>
      <c r="E9" s="202"/>
      <c r="F9" s="202"/>
      <c r="G9" s="203"/>
      <c r="H9" s="35"/>
      <c r="I9" s="125" t="s">
        <v>609</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35"/>
    </row>
    <row r="10" spans="1:38" s="36" customFormat="1" x14ac:dyDescent="0.2">
      <c r="A10" s="34"/>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35"/>
    </row>
    <row r="11" spans="1:38" ht="27.75" x14ac:dyDescent="0.2">
      <c r="A11" s="34"/>
      <c r="B11" s="132" t="s">
        <v>553</v>
      </c>
      <c r="C11" s="132"/>
      <c r="D11" s="132"/>
      <c r="E11" s="132"/>
      <c r="F11" s="132"/>
      <c r="G11" s="132"/>
      <c r="H11" s="132"/>
      <c r="I11" s="132"/>
      <c r="J11" s="132"/>
      <c r="K11" s="132"/>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35"/>
      <c r="AK11" s="36"/>
    </row>
    <row r="12" spans="1:38" x14ac:dyDescent="0.2">
      <c r="A12" s="34"/>
      <c r="B12" s="125" t="s">
        <v>581</v>
      </c>
      <c r="C12" s="125"/>
      <c r="D12" s="125"/>
      <c r="E12" s="125"/>
      <c r="F12" s="125"/>
      <c r="G12" s="125"/>
      <c r="H12" s="125"/>
      <c r="I12" s="125"/>
      <c r="J12" s="125"/>
      <c r="K12" s="125"/>
      <c r="L12" s="125"/>
      <c r="M12" s="125"/>
      <c r="N12" s="125"/>
      <c r="O12" s="125"/>
      <c r="P12" s="125"/>
      <c r="Q12" s="125"/>
      <c r="R12" s="125"/>
      <c r="S12" s="125"/>
      <c r="T12" s="125"/>
      <c r="U12" s="125"/>
      <c r="V12" s="125"/>
      <c r="W12" s="125"/>
      <c r="X12" s="211" t="s">
        <v>555</v>
      </c>
      <c r="Y12" s="211"/>
      <c r="Z12" s="211"/>
      <c r="AA12" s="211"/>
      <c r="AB12" s="211"/>
      <c r="AC12" s="211"/>
      <c r="AD12" s="211"/>
      <c r="AE12" s="211"/>
      <c r="AF12" s="211"/>
      <c r="AG12" s="211"/>
      <c r="AH12" s="211"/>
      <c r="AI12" s="211"/>
      <c r="AJ12" s="35"/>
      <c r="AK12" s="119">
        <f ca="1">RANDBETWEEN(1,6)</f>
        <v>5</v>
      </c>
      <c r="AL12" s="120"/>
    </row>
    <row r="13" spans="1:38" ht="17.25" thickBot="1" x14ac:dyDescent="0.25">
      <c r="A13" s="34"/>
      <c r="B13" s="129" t="s">
        <v>572</v>
      </c>
      <c r="C13" s="129"/>
      <c r="D13" s="129"/>
      <c r="E13" s="129"/>
      <c r="F13" s="129"/>
      <c r="G13" s="129"/>
      <c r="H13" s="129"/>
      <c r="I13" s="129"/>
      <c r="J13" s="129"/>
      <c r="K13" s="129"/>
      <c r="L13" s="129"/>
      <c r="M13" s="129"/>
      <c r="N13" s="129"/>
      <c r="O13" s="129"/>
      <c r="P13" s="129"/>
      <c r="Q13" s="129"/>
      <c r="R13" s="129"/>
      <c r="S13" s="129"/>
      <c r="T13" s="129"/>
      <c r="U13" s="129"/>
      <c r="V13" s="129"/>
      <c r="W13" s="129"/>
      <c r="X13" s="212"/>
      <c r="Y13" s="212"/>
      <c r="Z13" s="212"/>
      <c r="AA13" s="212"/>
      <c r="AB13" s="212"/>
      <c r="AC13" s="212"/>
      <c r="AD13" s="212"/>
      <c r="AE13" s="212"/>
      <c r="AF13" s="212"/>
      <c r="AG13" s="212"/>
      <c r="AH13" s="212"/>
      <c r="AI13" s="212"/>
      <c r="AJ13" s="35"/>
      <c r="AK13" s="119">
        <f t="shared" ref="AK13:AK32" ca="1" si="0">RANDBETWEEN(1,6)</f>
        <v>6</v>
      </c>
      <c r="AL13" s="120"/>
    </row>
    <row r="14" spans="1:38" x14ac:dyDescent="0.2">
      <c r="A14" s="34"/>
      <c r="B14" s="153" t="s">
        <v>287</v>
      </c>
      <c r="C14" s="154"/>
      <c r="D14" s="154"/>
      <c r="E14" s="154"/>
      <c r="F14" s="154"/>
      <c r="G14" s="154"/>
      <c r="H14" s="154"/>
      <c r="I14" s="154"/>
      <c r="J14" s="154"/>
      <c r="K14" s="154"/>
      <c r="L14" s="154"/>
      <c r="M14" s="154"/>
      <c r="N14" s="154"/>
      <c r="O14" s="154"/>
      <c r="P14" s="154"/>
      <c r="Q14" s="154"/>
      <c r="R14" s="154"/>
      <c r="S14" s="155"/>
      <c r="T14" s="39"/>
      <c r="U14" s="39"/>
      <c r="V14" s="39"/>
      <c r="W14" s="39"/>
      <c r="X14" s="219" t="s">
        <v>554</v>
      </c>
      <c r="Y14" s="220"/>
      <c r="Z14" s="220"/>
      <c r="AA14" s="220"/>
      <c r="AB14" s="220"/>
      <c r="AC14" s="220"/>
      <c r="AD14" s="220"/>
      <c r="AE14" s="220"/>
      <c r="AF14" s="220"/>
      <c r="AG14" s="220"/>
      <c r="AH14" s="220"/>
      <c r="AI14" s="221"/>
      <c r="AJ14" s="39"/>
      <c r="AK14" s="119">
        <f t="shared" ca="1" si="0"/>
        <v>6</v>
      </c>
      <c r="AL14" s="120"/>
    </row>
    <row r="15" spans="1:38" x14ac:dyDescent="0.2">
      <c r="A15" s="34"/>
      <c r="B15" s="156" t="s">
        <v>346</v>
      </c>
      <c r="C15" s="157"/>
      <c r="D15" s="158"/>
      <c r="E15" s="158"/>
      <c r="F15" s="216">
        <f>INT(D15/2)</f>
        <v>0</v>
      </c>
      <c r="G15" s="216"/>
      <c r="H15" s="214" t="s">
        <v>348</v>
      </c>
      <c r="I15" s="214"/>
      <c r="J15" s="215"/>
      <c r="K15" s="215"/>
      <c r="L15" s="218">
        <f>INT(J15/2)</f>
        <v>0</v>
      </c>
      <c r="M15" s="218"/>
      <c r="N15" s="159" t="s">
        <v>556</v>
      </c>
      <c r="O15" s="157"/>
      <c r="P15" s="158"/>
      <c r="Q15" s="158"/>
      <c r="R15" s="216">
        <f>INT(P15/2)</f>
        <v>0</v>
      </c>
      <c r="S15" s="217"/>
      <c r="T15" s="39"/>
      <c r="U15" s="39"/>
      <c r="V15" s="39"/>
      <c r="W15" s="39"/>
      <c r="X15" s="222" t="s">
        <v>346</v>
      </c>
      <c r="Y15" s="223"/>
      <c r="Z15" s="160">
        <f ca="1">SUM(AK12:AK14)*5</f>
        <v>85</v>
      </c>
      <c r="AA15" s="226"/>
      <c r="AB15" s="228" t="s">
        <v>348</v>
      </c>
      <c r="AC15" s="229"/>
      <c r="AD15" s="168">
        <f ca="1">SUM(AK18:AK20)*5</f>
        <v>35</v>
      </c>
      <c r="AE15" s="169"/>
      <c r="AF15" s="159" t="s">
        <v>556</v>
      </c>
      <c r="AG15" s="157"/>
      <c r="AH15" s="160">
        <f ca="1">SUM(AK31:AK32,6)*5</f>
        <v>80</v>
      </c>
      <c r="AI15" s="161"/>
      <c r="AJ15" s="39"/>
      <c r="AK15" s="119">
        <f t="shared" ca="1" si="0"/>
        <v>5</v>
      </c>
      <c r="AL15" s="120"/>
    </row>
    <row r="16" spans="1:38" x14ac:dyDescent="0.2">
      <c r="A16" s="34"/>
      <c r="B16" s="156"/>
      <c r="C16" s="157"/>
      <c r="D16" s="158"/>
      <c r="E16" s="158"/>
      <c r="F16" s="234">
        <f>INT(D15/5)</f>
        <v>0</v>
      </c>
      <c r="G16" s="234"/>
      <c r="H16" s="214"/>
      <c r="I16" s="214"/>
      <c r="J16" s="215"/>
      <c r="K16" s="215"/>
      <c r="L16" s="218">
        <f>INT(J15/5)</f>
        <v>0</v>
      </c>
      <c r="M16" s="218"/>
      <c r="N16" s="157"/>
      <c r="O16" s="157"/>
      <c r="P16" s="158"/>
      <c r="Q16" s="158"/>
      <c r="R16" s="216">
        <f>INT(P15/5)</f>
        <v>0</v>
      </c>
      <c r="S16" s="217"/>
      <c r="T16" s="39"/>
      <c r="U16" s="39"/>
      <c r="V16" s="39"/>
      <c r="W16" s="39"/>
      <c r="X16" s="224"/>
      <c r="Y16" s="225"/>
      <c r="Z16" s="162"/>
      <c r="AA16" s="227"/>
      <c r="AB16" s="230"/>
      <c r="AC16" s="231"/>
      <c r="AD16" s="232"/>
      <c r="AE16" s="233"/>
      <c r="AF16" s="157"/>
      <c r="AG16" s="157"/>
      <c r="AH16" s="162"/>
      <c r="AI16" s="163"/>
      <c r="AJ16" s="39"/>
      <c r="AK16" s="119">
        <f t="shared" ca="1" si="0"/>
        <v>1</v>
      </c>
      <c r="AL16" s="120"/>
    </row>
    <row r="17" spans="1:40" x14ac:dyDescent="0.2">
      <c r="A17" s="34"/>
      <c r="B17" s="213" t="s">
        <v>347</v>
      </c>
      <c r="C17" s="214"/>
      <c r="D17" s="215"/>
      <c r="E17" s="215"/>
      <c r="F17" s="218">
        <f t="shared" ref="F17" si="1">INT(D17/2)</f>
        <v>0</v>
      </c>
      <c r="G17" s="218"/>
      <c r="H17" s="157" t="s">
        <v>425</v>
      </c>
      <c r="I17" s="157"/>
      <c r="J17" s="158"/>
      <c r="K17" s="158"/>
      <c r="L17" s="216">
        <f t="shared" ref="L17" si="2">INT(J17/2)</f>
        <v>0</v>
      </c>
      <c r="M17" s="216"/>
      <c r="N17" s="214" t="s">
        <v>552</v>
      </c>
      <c r="O17" s="214"/>
      <c r="P17" s="215"/>
      <c r="Q17" s="215"/>
      <c r="R17" s="218">
        <f>INT(P17/2)</f>
        <v>0</v>
      </c>
      <c r="S17" s="235"/>
      <c r="T17" s="39"/>
      <c r="U17" s="39"/>
      <c r="V17" s="39"/>
      <c r="W17" s="39"/>
      <c r="X17" s="258" t="s">
        <v>347</v>
      </c>
      <c r="Y17" s="229"/>
      <c r="Z17" s="168">
        <f ca="1">SUM(AK15:AK17)*5</f>
        <v>40</v>
      </c>
      <c r="AA17" s="169"/>
      <c r="AB17" s="237" t="s">
        <v>425</v>
      </c>
      <c r="AC17" s="223"/>
      <c r="AD17" s="160">
        <f ca="1">SUM(AK21:AK23)*5</f>
        <v>30</v>
      </c>
      <c r="AE17" s="226"/>
      <c r="AF17" s="228" t="s">
        <v>552</v>
      </c>
      <c r="AG17" s="229"/>
      <c r="AH17" s="168">
        <f ca="1">SUM(AK24:AK26)*5</f>
        <v>55</v>
      </c>
      <c r="AI17" s="244"/>
      <c r="AJ17" s="39"/>
      <c r="AK17" s="119">
        <f t="shared" ca="1" si="0"/>
        <v>2</v>
      </c>
      <c r="AL17" s="120"/>
    </row>
    <row r="18" spans="1:40" x14ac:dyDescent="0.2">
      <c r="A18" s="34"/>
      <c r="B18" s="213"/>
      <c r="C18" s="214"/>
      <c r="D18" s="215"/>
      <c r="E18" s="215"/>
      <c r="F18" s="236">
        <f t="shared" ref="F18" si="3">INT(D17/5)</f>
        <v>0</v>
      </c>
      <c r="G18" s="236"/>
      <c r="H18" s="157"/>
      <c r="I18" s="157"/>
      <c r="J18" s="158"/>
      <c r="K18" s="158"/>
      <c r="L18" s="216">
        <f t="shared" ref="L18" si="4">INT(J17/5)</f>
        <v>0</v>
      </c>
      <c r="M18" s="216"/>
      <c r="N18" s="214"/>
      <c r="O18" s="214"/>
      <c r="P18" s="215"/>
      <c r="Q18" s="215"/>
      <c r="R18" s="218">
        <f>INT(P17/5)</f>
        <v>0</v>
      </c>
      <c r="S18" s="235"/>
      <c r="T18" s="39"/>
      <c r="U18" s="39"/>
      <c r="V18" s="39"/>
      <c r="W18" s="39"/>
      <c r="X18" s="259"/>
      <c r="Y18" s="231"/>
      <c r="Z18" s="232"/>
      <c r="AA18" s="233"/>
      <c r="AB18" s="238"/>
      <c r="AC18" s="225"/>
      <c r="AD18" s="162"/>
      <c r="AE18" s="227"/>
      <c r="AF18" s="230"/>
      <c r="AG18" s="231"/>
      <c r="AH18" s="232"/>
      <c r="AI18" s="245"/>
      <c r="AJ18" s="39"/>
      <c r="AK18" s="119">
        <f t="shared" ca="1" si="0"/>
        <v>4</v>
      </c>
      <c r="AL18" s="120"/>
    </row>
    <row r="19" spans="1:40" x14ac:dyDescent="0.2">
      <c r="A19" s="34"/>
      <c r="B19" s="156" t="s">
        <v>5</v>
      </c>
      <c r="C19" s="157"/>
      <c r="D19" s="158"/>
      <c r="E19" s="158"/>
      <c r="F19" s="216">
        <f t="shared" ref="F19" si="5">INT(D19/2)</f>
        <v>0</v>
      </c>
      <c r="G19" s="216"/>
      <c r="H19" s="261" t="s">
        <v>551</v>
      </c>
      <c r="I19" s="261"/>
      <c r="J19" s="215"/>
      <c r="K19" s="215"/>
      <c r="L19" s="218">
        <f t="shared" ref="L19" si="6">INT(J19/2)</f>
        <v>0</v>
      </c>
      <c r="M19" s="218"/>
      <c r="N19" s="237" t="str">
        <f>"八大属性合="&amp;SUM(D15:E20,J15:K20,P15:Q18)</f>
        <v>八大属性合=0</v>
      </c>
      <c r="O19" s="239"/>
      <c r="P19" s="239"/>
      <c r="Q19" s="239"/>
      <c r="R19" s="239"/>
      <c r="S19" s="240"/>
      <c r="T19" s="39"/>
      <c r="U19" s="39"/>
      <c r="V19" s="39"/>
      <c r="W19" s="39"/>
      <c r="X19" s="222" t="s">
        <v>5</v>
      </c>
      <c r="Y19" s="223"/>
      <c r="Z19" s="160">
        <f ca="1">SUM(AK27:AK28,6)*5</f>
        <v>75</v>
      </c>
      <c r="AA19" s="226"/>
      <c r="AB19" s="164" t="s">
        <v>551</v>
      </c>
      <c r="AC19" s="165"/>
      <c r="AD19" s="168">
        <f ca="1">SUM(AK29:AK30,6)*5</f>
        <v>65</v>
      </c>
      <c r="AE19" s="169"/>
      <c r="AF19" s="237" t="str">
        <f ca="1">"属性合="&amp;SUM(Z15:AA20,AD15:AE20,AH15:AI18)</f>
        <v>属性合=465</v>
      </c>
      <c r="AG19" s="239"/>
      <c r="AH19" s="239"/>
      <c r="AI19" s="240"/>
      <c r="AJ19" s="39"/>
      <c r="AK19" s="119">
        <f t="shared" ca="1" si="0"/>
        <v>2</v>
      </c>
      <c r="AL19" s="120"/>
    </row>
    <row r="20" spans="1:40" ht="17.25" thickBot="1" x14ac:dyDescent="0.25">
      <c r="A20" s="34"/>
      <c r="B20" s="151"/>
      <c r="C20" s="152"/>
      <c r="D20" s="260"/>
      <c r="E20" s="260"/>
      <c r="F20" s="264">
        <f t="shared" ref="F20" si="7">INT(D19/5)</f>
        <v>0</v>
      </c>
      <c r="G20" s="264"/>
      <c r="H20" s="262"/>
      <c r="I20" s="262"/>
      <c r="J20" s="263"/>
      <c r="K20" s="263"/>
      <c r="L20" s="250">
        <f t="shared" ref="L20" si="8">INT(J19/5)</f>
        <v>0</v>
      </c>
      <c r="M20" s="250"/>
      <c r="N20" s="241"/>
      <c r="O20" s="242"/>
      <c r="P20" s="242"/>
      <c r="Q20" s="242"/>
      <c r="R20" s="242"/>
      <c r="S20" s="243"/>
      <c r="T20" s="39"/>
      <c r="U20" s="39"/>
      <c r="V20" s="39"/>
      <c r="W20" s="39"/>
      <c r="X20" s="248"/>
      <c r="Y20" s="255"/>
      <c r="Z20" s="256"/>
      <c r="AA20" s="257"/>
      <c r="AB20" s="166"/>
      <c r="AC20" s="167"/>
      <c r="AD20" s="170"/>
      <c r="AE20" s="171"/>
      <c r="AF20" s="241"/>
      <c r="AG20" s="242"/>
      <c r="AH20" s="242"/>
      <c r="AI20" s="243"/>
      <c r="AJ20" s="39"/>
      <c r="AK20" s="119">
        <f t="shared" ca="1" si="0"/>
        <v>1</v>
      </c>
      <c r="AL20" s="120"/>
    </row>
    <row r="21" spans="1:40" s="40" customFormat="1" x14ac:dyDescent="0.2">
      <c r="A21" s="34"/>
      <c r="B21" s="129" t="s">
        <v>582</v>
      </c>
      <c r="C21" s="129"/>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39"/>
      <c r="AK21" s="119">
        <f t="shared" ca="1" si="0"/>
        <v>1</v>
      </c>
      <c r="AL21" s="121"/>
    </row>
    <row r="22" spans="1:40" x14ac:dyDescent="0.2">
      <c r="A22" s="3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35"/>
      <c r="AK22" s="119">
        <f t="shared" ca="1" si="0"/>
        <v>2</v>
      </c>
      <c r="AL22" s="119"/>
      <c r="AM22" s="36"/>
      <c r="AN22" s="36"/>
    </row>
    <row r="23" spans="1:40" ht="17.25" thickBot="1" x14ac:dyDescent="0.25">
      <c r="A23" s="34"/>
      <c r="B23" s="125" t="s">
        <v>714</v>
      </c>
      <c r="C23" s="125"/>
      <c r="D23" s="125"/>
      <c r="E23" s="125"/>
      <c r="F23" s="125"/>
      <c r="G23" s="125"/>
      <c r="H23" s="125"/>
      <c r="I23" s="125"/>
      <c r="J23" s="125"/>
      <c r="K23" s="125"/>
      <c r="L23" s="125"/>
      <c r="M23" s="125"/>
      <c r="N23" s="125"/>
      <c r="O23" s="125"/>
      <c r="P23" s="125"/>
      <c r="Q23" s="125"/>
      <c r="R23" s="130" t="s">
        <v>607</v>
      </c>
      <c r="S23" s="130"/>
      <c r="T23" s="130"/>
      <c r="U23" s="130"/>
      <c r="V23" s="130"/>
      <c r="W23" s="130"/>
      <c r="X23" s="130"/>
      <c r="Y23" s="130"/>
      <c r="Z23" s="130"/>
      <c r="AA23" s="130" t="s">
        <v>608</v>
      </c>
      <c r="AB23" s="130"/>
      <c r="AC23" s="130"/>
      <c r="AD23" s="130"/>
      <c r="AE23" s="130"/>
      <c r="AF23" s="130"/>
      <c r="AG23" s="130"/>
      <c r="AH23" s="130"/>
      <c r="AI23" s="130"/>
      <c r="AJ23" s="39"/>
      <c r="AK23" s="119">
        <f t="shared" ca="1" si="0"/>
        <v>3</v>
      </c>
      <c r="AL23" s="120"/>
    </row>
    <row r="24" spans="1:40" x14ac:dyDescent="0.2">
      <c r="A24" s="34"/>
      <c r="B24" s="219" t="s">
        <v>331</v>
      </c>
      <c r="C24" s="220"/>
      <c r="D24" s="220"/>
      <c r="E24" s="220"/>
      <c r="F24" s="220"/>
      <c r="G24" s="220"/>
      <c r="H24" s="220"/>
      <c r="I24" s="220"/>
      <c r="J24" s="220"/>
      <c r="K24" s="220"/>
      <c r="L24" s="220"/>
      <c r="M24" s="220"/>
      <c r="N24" s="221"/>
      <c r="O24" s="174"/>
      <c r="P24" s="175"/>
      <c r="Q24" s="176"/>
      <c r="R24" s="342" t="s">
        <v>566</v>
      </c>
      <c r="S24" s="343"/>
      <c r="T24" s="343"/>
      <c r="U24" s="343"/>
      <c r="V24" s="343"/>
      <c r="W24" s="343"/>
      <c r="X24" s="343"/>
      <c r="Y24" s="343"/>
      <c r="Z24" s="343"/>
      <c r="AA24" s="343"/>
      <c r="AB24" s="343"/>
      <c r="AC24" s="343"/>
      <c r="AD24" s="343"/>
      <c r="AE24" s="343"/>
      <c r="AF24" s="343"/>
      <c r="AG24" s="343"/>
      <c r="AH24" s="343"/>
      <c r="AI24" s="344"/>
      <c r="AJ24" s="35"/>
      <c r="AK24" s="119">
        <f t="shared" ca="1" si="0"/>
        <v>5</v>
      </c>
      <c r="AL24" s="119"/>
      <c r="AM24" s="36"/>
      <c r="AN24" s="36"/>
    </row>
    <row r="25" spans="1:40" x14ac:dyDescent="0.2">
      <c r="A25" s="34"/>
      <c r="B25" s="139" t="s">
        <v>0</v>
      </c>
      <c r="C25" s="140"/>
      <c r="D25" s="141"/>
      <c r="E25" s="142"/>
      <c r="F25" s="142"/>
      <c r="G25" s="142"/>
      <c r="H25" s="142"/>
      <c r="I25" s="142"/>
      <c r="J25" s="142"/>
      <c r="K25" s="142"/>
      <c r="L25" s="142"/>
      <c r="M25" s="142"/>
      <c r="N25" s="143"/>
      <c r="O25" s="174"/>
      <c r="P25" s="175"/>
      <c r="Q25" s="176"/>
      <c r="R25" s="345" t="s">
        <v>564</v>
      </c>
      <c r="S25" s="346"/>
      <c r="T25" s="346"/>
      <c r="U25" s="346"/>
      <c r="V25" s="346"/>
      <c r="W25" s="346"/>
      <c r="X25" s="346"/>
      <c r="Y25" s="346"/>
      <c r="Z25" s="346"/>
      <c r="AA25" s="346"/>
      <c r="AB25" s="346"/>
      <c r="AC25" s="346"/>
      <c r="AD25" s="346"/>
      <c r="AE25" s="346"/>
      <c r="AF25" s="346"/>
      <c r="AG25" s="346"/>
      <c r="AH25" s="346"/>
      <c r="AI25" s="347"/>
      <c r="AJ25" s="35"/>
      <c r="AK25" s="119">
        <f t="shared" ca="1" si="0"/>
        <v>4</v>
      </c>
      <c r="AL25" s="119"/>
      <c r="AM25" s="36"/>
      <c r="AN25" s="36"/>
    </row>
    <row r="26" spans="1:40" x14ac:dyDescent="0.2">
      <c r="A26" s="34"/>
      <c r="B26" s="183" t="s">
        <v>1</v>
      </c>
      <c r="C26" s="184"/>
      <c r="D26" s="265"/>
      <c r="E26" s="137"/>
      <c r="F26" s="137"/>
      <c r="G26" s="137"/>
      <c r="H26" s="137"/>
      <c r="I26" s="137"/>
      <c r="J26" s="137"/>
      <c r="K26" s="137"/>
      <c r="L26" s="137"/>
      <c r="M26" s="137"/>
      <c r="N26" s="138"/>
      <c r="O26" s="174"/>
      <c r="P26" s="175"/>
      <c r="Q26" s="176"/>
      <c r="R26" s="348" t="s">
        <v>565</v>
      </c>
      <c r="S26" s="349"/>
      <c r="T26" s="349"/>
      <c r="U26" s="349"/>
      <c r="V26" s="349"/>
      <c r="W26" s="349"/>
      <c r="X26" s="349"/>
      <c r="Y26" s="349"/>
      <c r="Z26" s="349"/>
      <c r="AA26" s="349"/>
      <c r="AB26" s="349"/>
      <c r="AC26" s="349"/>
      <c r="AD26" s="349"/>
      <c r="AE26" s="349"/>
      <c r="AF26" s="349"/>
      <c r="AG26" s="349"/>
      <c r="AH26" s="349"/>
      <c r="AI26" s="350"/>
      <c r="AJ26" s="35"/>
      <c r="AK26" s="119">
        <f t="shared" ca="1" si="0"/>
        <v>2</v>
      </c>
      <c r="AL26" s="119"/>
      <c r="AM26" s="36"/>
      <c r="AN26" s="36"/>
    </row>
    <row r="27" spans="1:40" x14ac:dyDescent="0.2">
      <c r="A27" s="34"/>
      <c r="B27" s="139" t="s">
        <v>2</v>
      </c>
      <c r="C27" s="140"/>
      <c r="D27" s="141"/>
      <c r="E27" s="142"/>
      <c r="F27" s="142"/>
      <c r="G27" s="142"/>
      <c r="H27" s="142"/>
      <c r="I27" s="142"/>
      <c r="J27" s="142"/>
      <c r="K27" s="142"/>
      <c r="L27" s="142"/>
      <c r="M27" s="142"/>
      <c r="N27" s="143"/>
      <c r="O27" s="174"/>
      <c r="P27" s="175"/>
      <c r="Q27" s="176"/>
      <c r="R27" s="345" t="s">
        <v>567</v>
      </c>
      <c r="S27" s="346"/>
      <c r="T27" s="346"/>
      <c r="U27" s="346"/>
      <c r="V27" s="346"/>
      <c r="W27" s="346"/>
      <c r="X27" s="346"/>
      <c r="Y27" s="346"/>
      <c r="Z27" s="346"/>
      <c r="AA27" s="346"/>
      <c r="AB27" s="346"/>
      <c r="AC27" s="346"/>
      <c r="AD27" s="346"/>
      <c r="AE27" s="346"/>
      <c r="AF27" s="346"/>
      <c r="AG27" s="346"/>
      <c r="AH27" s="346"/>
      <c r="AI27" s="347"/>
      <c r="AJ27" s="35"/>
      <c r="AK27" s="119">
        <f t="shared" ca="1" si="0"/>
        <v>5</v>
      </c>
      <c r="AL27" s="119"/>
      <c r="AM27" s="36"/>
      <c r="AN27" s="36"/>
    </row>
    <row r="28" spans="1:40" x14ac:dyDescent="0.2">
      <c r="A28" s="34"/>
      <c r="B28" s="183" t="s">
        <v>3</v>
      </c>
      <c r="C28" s="184"/>
      <c r="D28" s="185"/>
      <c r="E28" s="186"/>
      <c r="F28" s="186"/>
      <c r="G28" s="186"/>
      <c r="H28" s="187"/>
      <c r="I28" s="188" t="s">
        <v>4</v>
      </c>
      <c r="J28" s="184"/>
      <c r="K28" s="137"/>
      <c r="L28" s="137"/>
      <c r="M28" s="137"/>
      <c r="N28" s="138"/>
      <c r="O28" s="174"/>
      <c r="P28" s="175"/>
      <c r="Q28" s="176"/>
      <c r="R28" s="348" t="s">
        <v>568</v>
      </c>
      <c r="S28" s="349"/>
      <c r="T28" s="349"/>
      <c r="U28" s="349"/>
      <c r="V28" s="349"/>
      <c r="W28" s="349"/>
      <c r="X28" s="349"/>
      <c r="Y28" s="349"/>
      <c r="Z28" s="349"/>
      <c r="AA28" s="349"/>
      <c r="AB28" s="349"/>
      <c r="AC28" s="349"/>
      <c r="AD28" s="349"/>
      <c r="AE28" s="349"/>
      <c r="AF28" s="349"/>
      <c r="AG28" s="349"/>
      <c r="AH28" s="349"/>
      <c r="AI28" s="350"/>
      <c r="AJ28" s="35"/>
      <c r="AK28" s="119">
        <f t="shared" ca="1" si="0"/>
        <v>4</v>
      </c>
      <c r="AL28" s="119"/>
      <c r="AM28" s="36"/>
      <c r="AN28" s="36"/>
    </row>
    <row r="29" spans="1:40" x14ac:dyDescent="0.2">
      <c r="A29" s="34"/>
      <c r="B29" s="139" t="s">
        <v>288</v>
      </c>
      <c r="C29" s="140"/>
      <c r="D29" s="141"/>
      <c r="E29" s="142"/>
      <c r="F29" s="142"/>
      <c r="G29" s="142"/>
      <c r="H29" s="142"/>
      <c r="I29" s="142"/>
      <c r="J29" s="142"/>
      <c r="K29" s="142"/>
      <c r="L29" s="142"/>
      <c r="M29" s="142"/>
      <c r="N29" s="143"/>
      <c r="O29" s="174"/>
      <c r="P29" s="175"/>
      <c r="Q29" s="176"/>
      <c r="R29" s="345" t="s">
        <v>569</v>
      </c>
      <c r="S29" s="346"/>
      <c r="T29" s="346"/>
      <c r="U29" s="346"/>
      <c r="V29" s="346"/>
      <c r="W29" s="346"/>
      <c r="X29" s="346"/>
      <c r="Y29" s="346"/>
      <c r="Z29" s="346"/>
      <c r="AA29" s="346"/>
      <c r="AB29" s="346"/>
      <c r="AC29" s="346"/>
      <c r="AD29" s="346"/>
      <c r="AE29" s="346"/>
      <c r="AF29" s="346"/>
      <c r="AG29" s="346"/>
      <c r="AH29" s="346"/>
      <c r="AI29" s="347"/>
      <c r="AJ29" s="35"/>
      <c r="AK29" s="119">
        <f t="shared" ca="1" si="0"/>
        <v>2</v>
      </c>
      <c r="AL29" s="119"/>
      <c r="AM29" s="36"/>
      <c r="AN29" s="36"/>
    </row>
    <row r="30" spans="1:40" ht="17.25" thickBot="1" x14ac:dyDescent="0.25">
      <c r="A30" s="34"/>
      <c r="B30" s="144" t="s">
        <v>560</v>
      </c>
      <c r="C30" s="145"/>
      <c r="D30" s="146"/>
      <c r="E30" s="147"/>
      <c r="F30" s="147"/>
      <c r="G30" s="147"/>
      <c r="H30" s="147"/>
      <c r="I30" s="147"/>
      <c r="J30" s="147"/>
      <c r="K30" s="147"/>
      <c r="L30" s="147"/>
      <c r="M30" s="147"/>
      <c r="N30" s="148"/>
      <c r="O30" s="174"/>
      <c r="P30" s="175"/>
      <c r="Q30" s="176"/>
      <c r="R30" s="351" t="s">
        <v>570</v>
      </c>
      <c r="S30" s="352"/>
      <c r="T30" s="352"/>
      <c r="U30" s="352"/>
      <c r="V30" s="352"/>
      <c r="W30" s="352"/>
      <c r="X30" s="352"/>
      <c r="Y30" s="352"/>
      <c r="Z30" s="352"/>
      <c r="AA30" s="352"/>
      <c r="AB30" s="352"/>
      <c r="AC30" s="352"/>
      <c r="AD30" s="352"/>
      <c r="AE30" s="352"/>
      <c r="AF30" s="352"/>
      <c r="AG30" s="352"/>
      <c r="AH30" s="352"/>
      <c r="AI30" s="353"/>
      <c r="AJ30" s="35"/>
      <c r="AK30" s="119">
        <f t="shared" ca="1" si="0"/>
        <v>5</v>
      </c>
      <c r="AL30" s="119"/>
      <c r="AM30" s="36"/>
      <c r="AN30" s="36"/>
    </row>
    <row r="31" spans="1:40" x14ac:dyDescent="0.2">
      <c r="A31" s="34"/>
      <c r="B31" s="125"/>
      <c r="C31" s="1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35"/>
      <c r="AK31" s="119">
        <f t="shared" ca="1" si="0"/>
        <v>6</v>
      </c>
      <c r="AL31" s="119"/>
      <c r="AM31" s="36"/>
      <c r="AN31" s="36"/>
    </row>
    <row r="32" spans="1:40" ht="17.25" thickBot="1" x14ac:dyDescent="0.25">
      <c r="A32" s="34"/>
      <c r="B32" s="125" t="s">
        <v>583</v>
      </c>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35"/>
      <c r="AK32" s="119">
        <f t="shared" ca="1" si="0"/>
        <v>4</v>
      </c>
      <c r="AL32" s="119"/>
      <c r="AM32" s="36"/>
      <c r="AN32" s="36"/>
    </row>
    <row r="33" spans="1:40" ht="16.5" customHeight="1" x14ac:dyDescent="0.2">
      <c r="A33" s="34"/>
      <c r="B33" s="149" t="s">
        <v>571</v>
      </c>
      <c r="C33" s="150"/>
      <c r="D33" s="179"/>
      <c r="E33" s="180"/>
      <c r="F33" s="35"/>
      <c r="G33" s="337">
        <f ca="1">SUM(G35:I35)*5</f>
        <v>65</v>
      </c>
      <c r="H33" s="337"/>
      <c r="I33" s="117"/>
      <c r="J33" s="117"/>
      <c r="K33" s="117"/>
      <c r="L33" s="39"/>
      <c r="M33" s="39"/>
      <c r="N33" s="246" t="s">
        <v>615</v>
      </c>
      <c r="O33" s="247"/>
      <c r="P33" s="247"/>
      <c r="Q33" s="247"/>
      <c r="R33" s="249" t="s">
        <v>573</v>
      </c>
      <c r="S33" s="249"/>
      <c r="T33" s="249"/>
      <c r="U33" s="251" t="s">
        <v>574</v>
      </c>
      <c r="V33" s="251"/>
      <c r="W33" s="251"/>
      <c r="X33" s="249" t="s">
        <v>576</v>
      </c>
      <c r="Y33" s="249"/>
      <c r="Z33" s="249"/>
      <c r="AA33" s="251" t="s">
        <v>575</v>
      </c>
      <c r="AB33" s="251"/>
      <c r="AC33" s="251"/>
      <c r="AD33" s="249" t="s">
        <v>544</v>
      </c>
      <c r="AE33" s="249"/>
      <c r="AF33" s="249"/>
      <c r="AG33" s="251" t="s">
        <v>548</v>
      </c>
      <c r="AH33" s="251"/>
      <c r="AI33" s="252"/>
      <c r="AJ33" s="35"/>
      <c r="AK33" s="36"/>
    </row>
    <row r="34" spans="1:40" ht="17.25" thickBot="1" x14ac:dyDescent="0.25">
      <c r="A34" s="34"/>
      <c r="B34" s="151"/>
      <c r="C34" s="152"/>
      <c r="D34" s="181"/>
      <c r="E34" s="182"/>
      <c r="F34" s="35"/>
      <c r="G34" s="117"/>
      <c r="H34" s="117"/>
      <c r="I34" s="117"/>
      <c r="J34" s="117"/>
      <c r="K34" s="117"/>
      <c r="L34" s="39"/>
      <c r="M34" s="39"/>
      <c r="N34" s="248"/>
      <c r="O34" s="242"/>
      <c r="P34" s="242"/>
      <c r="Q34" s="242"/>
      <c r="R34" s="253" t="str">
        <f>LOOKUP(STR+SIZ,附表!A2:A32,附表!B2:B32)</f>
        <v>错误</v>
      </c>
      <c r="S34" s="253"/>
      <c r="T34" s="253"/>
      <c r="U34" s="136" t="str">
        <f>LOOKUP(STR+SIZ,附表!A2:A32,附表!C2:C32)</f>
        <v>错误</v>
      </c>
      <c r="V34" s="136"/>
      <c r="W34" s="136"/>
      <c r="X34" s="253" t="str">
        <f>IF(ISBLANK(D28),"错误",MOV_main-LOOKUP(Age,附表!E2:E7,附表!F2:F7))</f>
        <v>错误</v>
      </c>
      <c r="Y34" s="253"/>
      <c r="Z34" s="253"/>
      <c r="AA34" s="136">
        <f>INT((CON+SIZ)/10)</f>
        <v>0</v>
      </c>
      <c r="AB34" s="136"/>
      <c r="AC34" s="136"/>
      <c r="AD34" s="254">
        <f>P17</f>
        <v>0</v>
      </c>
      <c r="AE34" s="253"/>
      <c r="AF34" s="253"/>
      <c r="AG34" s="136">
        <f>INT(POW/5)</f>
        <v>0</v>
      </c>
      <c r="AH34" s="136"/>
      <c r="AI34" s="205"/>
      <c r="AJ34" s="35"/>
      <c r="AK34" s="36"/>
      <c r="AL34" s="36"/>
      <c r="AM34" s="36"/>
      <c r="AN34" s="36"/>
    </row>
    <row r="35" spans="1:40" x14ac:dyDescent="0.2">
      <c r="A35" s="34"/>
      <c r="B35" s="125"/>
      <c r="C35" s="125"/>
      <c r="D35" s="125"/>
      <c r="E35" s="125"/>
      <c r="F35" s="125"/>
      <c r="G35" s="91">
        <f ca="1">RANDBETWEEN(1,6)</f>
        <v>6</v>
      </c>
      <c r="H35" s="91">
        <f ca="1">RANDBETWEEN(1,6)</f>
        <v>5</v>
      </c>
      <c r="I35" s="91">
        <f ca="1">RANDBETWEEN(1,6)</f>
        <v>2</v>
      </c>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35"/>
      <c r="AK35" s="36"/>
      <c r="AL35" s="36"/>
      <c r="AM35" s="36"/>
      <c r="AN35" s="36"/>
    </row>
    <row r="36" spans="1:40" ht="27.75" x14ac:dyDescent="0.2">
      <c r="A36" s="34"/>
      <c r="B36" s="132" t="s">
        <v>562</v>
      </c>
      <c r="C36" s="132"/>
      <c r="D36" s="132"/>
      <c r="E36" s="132"/>
      <c r="F36" s="132"/>
      <c r="G36" s="132"/>
      <c r="H36" s="132"/>
      <c r="I36" s="132"/>
      <c r="J36" s="132"/>
      <c r="K36" s="132"/>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35"/>
      <c r="AK36" s="36"/>
      <c r="AL36" s="36"/>
      <c r="AM36" s="36"/>
      <c r="AN36" s="36"/>
    </row>
    <row r="37" spans="1:40" ht="17.25" thickBot="1" x14ac:dyDescent="0.25">
      <c r="A37" s="34"/>
      <c r="B37" s="126" t="s">
        <v>589</v>
      </c>
      <c r="C37" s="126"/>
      <c r="D37" s="126"/>
      <c r="E37" s="126"/>
      <c r="F37" s="131" t="s">
        <v>580</v>
      </c>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35"/>
      <c r="AK37" s="36"/>
      <c r="AL37" s="36"/>
      <c r="AM37" s="36"/>
      <c r="AN37" s="36"/>
    </row>
    <row r="38" spans="1:40" x14ac:dyDescent="0.2">
      <c r="A38" s="34"/>
      <c r="B38" s="133" t="s">
        <v>563</v>
      </c>
      <c r="C38" s="134"/>
      <c r="D38" s="134"/>
      <c r="E38" s="200">
        <v>1</v>
      </c>
      <c r="F38" s="201"/>
      <c r="G38" s="177"/>
      <c r="H38" s="125"/>
      <c r="I38" s="178"/>
      <c r="J38" s="133" t="str">
        <f>"选择的职业模板："&amp;LOOKUP(OccNo,职业列表!A2:A116,职业列表!B2:B116)</f>
        <v>选择的职业模板：会计师</v>
      </c>
      <c r="K38" s="134"/>
      <c r="L38" s="134"/>
      <c r="M38" s="134"/>
      <c r="N38" s="134"/>
      <c r="O38" s="134"/>
      <c r="P38" s="134"/>
      <c r="Q38" s="134"/>
      <c r="R38" s="204"/>
      <c r="S38" s="177"/>
      <c r="T38" s="125"/>
      <c r="U38" s="125"/>
      <c r="V38" s="125"/>
      <c r="W38" s="125"/>
      <c r="X38" s="125"/>
      <c r="Y38" s="125"/>
      <c r="Z38" s="125"/>
      <c r="AA38" s="125"/>
      <c r="AB38" s="125"/>
      <c r="AC38" s="125"/>
      <c r="AD38" s="125"/>
      <c r="AE38" s="125"/>
      <c r="AF38" s="125"/>
      <c r="AG38" s="125"/>
      <c r="AH38" s="125"/>
      <c r="AI38" s="125"/>
      <c r="AJ38" s="39"/>
    </row>
    <row r="39" spans="1:40" ht="17.25" thickBot="1" x14ac:dyDescent="0.25">
      <c r="A39" s="34"/>
      <c r="B39" s="135"/>
      <c r="C39" s="136"/>
      <c r="D39" s="136"/>
      <c r="E39" s="202"/>
      <c r="F39" s="203"/>
      <c r="G39" s="177"/>
      <c r="H39" s="125"/>
      <c r="I39" s="178"/>
      <c r="J39" s="135"/>
      <c r="K39" s="136"/>
      <c r="L39" s="136"/>
      <c r="M39" s="136"/>
      <c r="N39" s="136"/>
      <c r="O39" s="136"/>
      <c r="P39" s="136"/>
      <c r="Q39" s="136"/>
      <c r="R39" s="205"/>
      <c r="S39" s="177"/>
      <c r="T39" s="125"/>
      <c r="U39" s="125"/>
      <c r="V39" s="125"/>
      <c r="W39" s="125"/>
      <c r="X39" s="125"/>
      <c r="Y39" s="125"/>
      <c r="Z39" s="125"/>
      <c r="AA39" s="125"/>
      <c r="AB39" s="125"/>
      <c r="AC39" s="125"/>
      <c r="AD39" s="125"/>
      <c r="AE39" s="125"/>
      <c r="AF39" s="125"/>
      <c r="AG39" s="125"/>
      <c r="AH39" s="125"/>
      <c r="AI39" s="125"/>
      <c r="AJ39" s="39"/>
    </row>
    <row r="40" spans="1:40" x14ac:dyDescent="0.2">
      <c r="A40" s="34"/>
      <c r="B40" s="175"/>
      <c r="C40" s="17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39"/>
    </row>
    <row r="41" spans="1:40" ht="27.75" x14ac:dyDescent="0.2">
      <c r="A41" s="34"/>
      <c r="B41" s="132" t="s">
        <v>561</v>
      </c>
      <c r="C41" s="132"/>
      <c r="D41" s="132"/>
      <c r="E41" s="132"/>
      <c r="F41" s="132"/>
      <c r="G41" s="132"/>
      <c r="H41" s="132"/>
      <c r="I41" s="132"/>
      <c r="J41" s="132"/>
      <c r="K41" s="132"/>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35"/>
      <c r="AK41" s="36"/>
      <c r="AL41" s="36"/>
      <c r="AM41" s="36"/>
      <c r="AN41" s="36"/>
    </row>
    <row r="42" spans="1:40" x14ac:dyDescent="0.2">
      <c r="A42" s="34"/>
      <c r="B42" s="209" t="str">
        <f>"["&amp;LOOKUP(E38,职业列表!A2:A116,职业列表!B2:B116)&amp;"]的本职技能包括："&amp;LOOKUP(E38,职业列表!A2:A116,职业列表!F2:F116)</f>
        <v>[会计师]的本职技能包括：会计，法律，图书馆，聆听，说服，侦查，任意其他两项个人或时代特长。</v>
      </c>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35"/>
      <c r="AK42" s="36"/>
      <c r="AL42" s="36"/>
      <c r="AM42" s="36"/>
      <c r="AN42" s="36"/>
    </row>
    <row r="43" spans="1:40" x14ac:dyDescent="0.2">
      <c r="A43" s="34"/>
      <c r="B43" s="209"/>
      <c r="C43" s="209"/>
      <c r="D43" s="209"/>
      <c r="E43" s="209"/>
      <c r="F43" s="209"/>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35"/>
      <c r="AK43" s="36"/>
      <c r="AL43" s="36"/>
      <c r="AM43" s="36"/>
      <c r="AN43" s="36"/>
    </row>
    <row r="44" spans="1:40" x14ac:dyDescent="0.2">
      <c r="A44" s="34"/>
      <c r="B44" s="125" t="str">
        <f>"将"&amp;LOOKUP(OccNo,职业列表!A2:A116,职业列表!E2:E116)&amp;"点本职技能点数分配给本职技能和信用评级，再将"&amp;INT*2&amp;"点兴趣技能点数分配给任意技能。点数计算器在下表的右下角。"</f>
        <v>将0点本职技能点数分配给本职技能和信用评级，再将0点兴趣技能点数分配给任意技能。点数计算器在下表的右下角。</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35"/>
      <c r="AK44" s="36"/>
      <c r="AL44" s="36"/>
      <c r="AM44" s="36"/>
      <c r="AN44" s="36"/>
    </row>
    <row r="45" spans="1:40" ht="17.25" thickBot="1" x14ac:dyDescent="0.25">
      <c r="A45" s="34"/>
      <c r="B45" s="130" t="str">
        <f>"["&amp;LOOKUP(E38,职业列表!A2:A116,职业列表!B2:B116)&amp;"]的职业信用范围："&amp;LOOKUP(E38,职业列表!A2:A116,职业列表!C2:C116)&amp;"，请使用本职技能点将信用评级加至这个区间。"</f>
        <v>[会计师]的职业信用范围：30-70，请使用本职技能点将信用评级加至这个区间。</v>
      </c>
      <c r="C45" s="130"/>
      <c r="D45" s="130"/>
      <c r="E45" s="130"/>
      <c r="F45" s="130"/>
      <c r="G45" s="130"/>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39"/>
    </row>
    <row r="46" spans="1:40" x14ac:dyDescent="0.2">
      <c r="A46" s="34"/>
      <c r="B46" s="153" t="s">
        <v>13</v>
      </c>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5"/>
      <c r="AJ46" s="39"/>
    </row>
    <row r="47" spans="1:40" x14ac:dyDescent="0.2">
      <c r="A47" s="34"/>
      <c r="B47" s="210" t="s">
        <v>360</v>
      </c>
      <c r="C47" s="192"/>
      <c r="D47" s="192"/>
      <c r="E47" s="192"/>
      <c r="F47" s="193"/>
      <c r="G47" s="172" t="s">
        <v>7</v>
      </c>
      <c r="H47" s="172"/>
      <c r="I47" s="172" t="s">
        <v>2</v>
      </c>
      <c r="J47" s="172"/>
      <c r="K47" s="172" t="s">
        <v>8</v>
      </c>
      <c r="L47" s="172"/>
      <c r="M47" s="172" t="s">
        <v>9</v>
      </c>
      <c r="N47" s="172"/>
      <c r="O47" s="172"/>
      <c r="P47" s="172"/>
      <c r="Q47" s="172"/>
      <c r="R47" s="191"/>
      <c r="S47" s="192" t="s">
        <v>360</v>
      </c>
      <c r="T47" s="192"/>
      <c r="U47" s="192"/>
      <c r="V47" s="192"/>
      <c r="W47" s="193"/>
      <c r="X47" s="172" t="s">
        <v>7</v>
      </c>
      <c r="Y47" s="172"/>
      <c r="Z47" s="172" t="s">
        <v>2</v>
      </c>
      <c r="AA47" s="172"/>
      <c r="AB47" s="172" t="s">
        <v>8</v>
      </c>
      <c r="AC47" s="172"/>
      <c r="AD47" s="172" t="s">
        <v>9</v>
      </c>
      <c r="AE47" s="172"/>
      <c r="AF47" s="172"/>
      <c r="AG47" s="172"/>
      <c r="AH47" s="172"/>
      <c r="AI47" s="194"/>
      <c r="AJ47" s="39"/>
    </row>
    <row r="48" spans="1:40" x14ac:dyDescent="0.2">
      <c r="A48" s="34"/>
      <c r="B48" s="266" t="s">
        <v>403</v>
      </c>
      <c r="C48" s="267"/>
      <c r="D48" s="267"/>
      <c r="E48" s="267"/>
      <c r="F48" s="267"/>
      <c r="G48" s="198">
        <v>5</v>
      </c>
      <c r="H48" s="198"/>
      <c r="I48" s="190"/>
      <c r="J48" s="190"/>
      <c r="K48" s="190"/>
      <c r="L48" s="190"/>
      <c r="M48" s="173">
        <f>SUM(G48:L48)</f>
        <v>5</v>
      </c>
      <c r="N48" s="173"/>
      <c r="O48" s="173">
        <f>INT(M48/2)</f>
        <v>2</v>
      </c>
      <c r="P48" s="173"/>
      <c r="Q48" s="173">
        <f>INT(M48/5)</f>
        <v>1</v>
      </c>
      <c r="R48" s="268"/>
      <c r="S48" s="269" t="s">
        <v>10</v>
      </c>
      <c r="T48" s="269"/>
      <c r="U48" s="269"/>
      <c r="V48" s="269"/>
      <c r="W48" s="269"/>
      <c r="X48" s="198">
        <v>5</v>
      </c>
      <c r="Y48" s="198"/>
      <c r="Z48" s="190"/>
      <c r="AA48" s="190"/>
      <c r="AB48" s="190"/>
      <c r="AC48" s="190"/>
      <c r="AD48" s="173">
        <f t="shared" ref="AD48:AD78" si="9">SUM(X48:AC48)</f>
        <v>5</v>
      </c>
      <c r="AE48" s="173"/>
      <c r="AF48" s="173">
        <f>INT(AD48/2)</f>
        <v>2</v>
      </c>
      <c r="AG48" s="173"/>
      <c r="AH48" s="173">
        <f>INT(AD48/5)</f>
        <v>1</v>
      </c>
      <c r="AI48" s="189"/>
      <c r="AJ48" s="39"/>
    </row>
    <row r="49" spans="1:36" x14ac:dyDescent="0.2">
      <c r="A49" s="34"/>
      <c r="B49" s="275" t="s">
        <v>295</v>
      </c>
      <c r="C49" s="272"/>
      <c r="D49" s="272"/>
      <c r="E49" s="272"/>
      <c r="F49" s="272"/>
      <c r="G49" s="273">
        <v>1</v>
      </c>
      <c r="H49" s="273"/>
      <c r="I49" s="274"/>
      <c r="J49" s="274"/>
      <c r="K49" s="274"/>
      <c r="L49" s="274"/>
      <c r="M49" s="199">
        <f>SUM(G49:L49)</f>
        <v>1</v>
      </c>
      <c r="N49" s="199"/>
      <c r="O49" s="199">
        <f>INT(M49/2)</f>
        <v>0</v>
      </c>
      <c r="P49" s="199"/>
      <c r="Q49" s="199">
        <f>INT(M49/5)</f>
        <v>0</v>
      </c>
      <c r="R49" s="271"/>
      <c r="S49" s="272" t="s">
        <v>404</v>
      </c>
      <c r="T49" s="272"/>
      <c r="U49" s="272"/>
      <c r="V49" s="272"/>
      <c r="W49" s="272"/>
      <c r="X49" s="273">
        <v>20</v>
      </c>
      <c r="Y49" s="273"/>
      <c r="Z49" s="274"/>
      <c r="AA49" s="274"/>
      <c r="AB49" s="274"/>
      <c r="AC49" s="274"/>
      <c r="AD49" s="199">
        <f t="shared" si="9"/>
        <v>20</v>
      </c>
      <c r="AE49" s="199"/>
      <c r="AF49" s="199">
        <f>INT(AD49/2)</f>
        <v>10</v>
      </c>
      <c r="AG49" s="199"/>
      <c r="AH49" s="199">
        <f>INT(AD49/5)</f>
        <v>4</v>
      </c>
      <c r="AI49" s="270"/>
      <c r="AJ49" s="39"/>
    </row>
    <row r="50" spans="1:36" x14ac:dyDescent="0.2">
      <c r="A50" s="34"/>
      <c r="B50" s="266" t="s">
        <v>296</v>
      </c>
      <c r="C50" s="267"/>
      <c r="D50" s="267"/>
      <c r="E50" s="267"/>
      <c r="F50" s="267"/>
      <c r="G50" s="198">
        <v>5</v>
      </c>
      <c r="H50" s="198"/>
      <c r="I50" s="190"/>
      <c r="J50" s="190"/>
      <c r="K50" s="190"/>
      <c r="L50" s="190"/>
      <c r="M50" s="173">
        <f t="shared" ref="M50:M79" si="10">SUM(G50:L50)</f>
        <v>5</v>
      </c>
      <c r="N50" s="173"/>
      <c r="O50" s="173">
        <f t="shared" ref="O50:O79" si="11">INT(M50/2)</f>
        <v>2</v>
      </c>
      <c r="P50" s="173"/>
      <c r="Q50" s="173">
        <f t="shared" ref="Q50:Q79" si="12">INT(M50/5)</f>
        <v>1</v>
      </c>
      <c r="R50" s="268"/>
      <c r="S50" s="269" t="s">
        <v>309</v>
      </c>
      <c r="T50" s="269"/>
      <c r="U50" s="269"/>
      <c r="V50" s="269"/>
      <c r="W50" s="269"/>
      <c r="X50" s="198">
        <v>20</v>
      </c>
      <c r="Y50" s="198"/>
      <c r="Z50" s="190"/>
      <c r="AA50" s="190"/>
      <c r="AB50" s="190"/>
      <c r="AC50" s="190"/>
      <c r="AD50" s="173">
        <f t="shared" si="9"/>
        <v>20</v>
      </c>
      <c r="AE50" s="173"/>
      <c r="AF50" s="173">
        <f t="shared" ref="AF50:AF78" si="13">INT(AD50/2)</f>
        <v>10</v>
      </c>
      <c r="AG50" s="173"/>
      <c r="AH50" s="173">
        <f t="shared" ref="AH50:AH78" si="14">INT(AD50/5)</f>
        <v>4</v>
      </c>
      <c r="AI50" s="189"/>
      <c r="AJ50" s="39"/>
    </row>
    <row r="51" spans="1:36" x14ac:dyDescent="0.2">
      <c r="A51" s="34"/>
      <c r="B51" s="275" t="s">
        <v>297</v>
      </c>
      <c r="C51" s="272"/>
      <c r="D51" s="272"/>
      <c r="E51" s="272"/>
      <c r="F51" s="272"/>
      <c r="G51" s="273">
        <v>1</v>
      </c>
      <c r="H51" s="273"/>
      <c r="I51" s="274"/>
      <c r="J51" s="274"/>
      <c r="K51" s="274"/>
      <c r="L51" s="274"/>
      <c r="M51" s="199">
        <f t="shared" si="10"/>
        <v>1</v>
      </c>
      <c r="N51" s="199"/>
      <c r="O51" s="199">
        <f t="shared" si="11"/>
        <v>0</v>
      </c>
      <c r="P51" s="199"/>
      <c r="Q51" s="199">
        <f t="shared" si="12"/>
        <v>0</v>
      </c>
      <c r="R51" s="271"/>
      <c r="S51" s="272" t="s">
        <v>310</v>
      </c>
      <c r="T51" s="272"/>
      <c r="U51" s="272"/>
      <c r="V51" s="272"/>
      <c r="W51" s="272"/>
      <c r="X51" s="273">
        <v>1</v>
      </c>
      <c r="Y51" s="273"/>
      <c r="Z51" s="274"/>
      <c r="AA51" s="274"/>
      <c r="AB51" s="274"/>
      <c r="AC51" s="274"/>
      <c r="AD51" s="199">
        <f t="shared" si="9"/>
        <v>1</v>
      </c>
      <c r="AE51" s="199"/>
      <c r="AF51" s="199">
        <f t="shared" si="13"/>
        <v>0</v>
      </c>
      <c r="AG51" s="199"/>
      <c r="AH51" s="199">
        <f t="shared" si="14"/>
        <v>0</v>
      </c>
      <c r="AI51" s="270"/>
      <c r="AJ51" s="39"/>
    </row>
    <row r="52" spans="1:36" x14ac:dyDescent="0.2">
      <c r="A52" s="34"/>
      <c r="B52" s="276" t="s">
        <v>325</v>
      </c>
      <c r="C52" s="277"/>
      <c r="D52" s="278"/>
      <c r="E52" s="278"/>
      <c r="F52" s="279"/>
      <c r="G52" s="198">
        <v>5</v>
      </c>
      <c r="H52" s="198"/>
      <c r="I52" s="190"/>
      <c r="J52" s="190"/>
      <c r="K52" s="190"/>
      <c r="L52" s="190"/>
      <c r="M52" s="173">
        <f t="shared" si="10"/>
        <v>5</v>
      </c>
      <c r="N52" s="173"/>
      <c r="O52" s="173">
        <f t="shared" si="11"/>
        <v>2</v>
      </c>
      <c r="P52" s="173"/>
      <c r="Q52" s="173">
        <f t="shared" si="12"/>
        <v>1</v>
      </c>
      <c r="R52" s="268"/>
      <c r="S52" s="269" t="s">
        <v>311</v>
      </c>
      <c r="T52" s="269"/>
      <c r="U52" s="269"/>
      <c r="V52" s="269"/>
      <c r="W52" s="269"/>
      <c r="X52" s="198">
        <v>10</v>
      </c>
      <c r="Y52" s="198"/>
      <c r="Z52" s="190"/>
      <c r="AA52" s="190"/>
      <c r="AB52" s="190"/>
      <c r="AC52" s="190"/>
      <c r="AD52" s="173">
        <f t="shared" si="9"/>
        <v>10</v>
      </c>
      <c r="AE52" s="173"/>
      <c r="AF52" s="173">
        <f t="shared" si="13"/>
        <v>5</v>
      </c>
      <c r="AG52" s="173"/>
      <c r="AH52" s="173">
        <f t="shared" si="14"/>
        <v>2</v>
      </c>
      <c r="AI52" s="189"/>
      <c r="AJ52" s="39"/>
    </row>
    <row r="53" spans="1:36" x14ac:dyDescent="0.2">
      <c r="A53" s="34"/>
      <c r="B53" s="280" t="s">
        <v>325</v>
      </c>
      <c r="C53" s="281"/>
      <c r="D53" s="282"/>
      <c r="E53" s="282"/>
      <c r="F53" s="283"/>
      <c r="G53" s="273">
        <v>5</v>
      </c>
      <c r="H53" s="273"/>
      <c r="I53" s="274"/>
      <c r="J53" s="274"/>
      <c r="K53" s="274"/>
      <c r="L53" s="274"/>
      <c r="M53" s="199">
        <f t="shared" si="10"/>
        <v>5</v>
      </c>
      <c r="N53" s="199"/>
      <c r="O53" s="199">
        <f t="shared" si="11"/>
        <v>2</v>
      </c>
      <c r="P53" s="199"/>
      <c r="Q53" s="199">
        <f t="shared" si="12"/>
        <v>1</v>
      </c>
      <c r="R53" s="271"/>
      <c r="S53" s="272" t="s">
        <v>312</v>
      </c>
      <c r="T53" s="272"/>
      <c r="U53" s="272"/>
      <c r="V53" s="272"/>
      <c r="W53" s="272"/>
      <c r="X53" s="273">
        <v>1</v>
      </c>
      <c r="Y53" s="273"/>
      <c r="Z53" s="274"/>
      <c r="AA53" s="274"/>
      <c r="AB53" s="274"/>
      <c r="AC53" s="274"/>
      <c r="AD53" s="199">
        <f t="shared" si="9"/>
        <v>1</v>
      </c>
      <c r="AE53" s="199"/>
      <c r="AF53" s="199">
        <f t="shared" si="13"/>
        <v>0</v>
      </c>
      <c r="AG53" s="199"/>
      <c r="AH53" s="199">
        <f t="shared" si="14"/>
        <v>0</v>
      </c>
      <c r="AI53" s="270"/>
      <c r="AJ53" s="39"/>
    </row>
    <row r="54" spans="1:36" x14ac:dyDescent="0.2">
      <c r="A54" s="34"/>
      <c r="B54" s="276" t="s">
        <v>325</v>
      </c>
      <c r="C54" s="277"/>
      <c r="D54" s="278"/>
      <c r="E54" s="278"/>
      <c r="F54" s="279"/>
      <c r="G54" s="198">
        <v>5</v>
      </c>
      <c r="H54" s="198"/>
      <c r="I54" s="190"/>
      <c r="J54" s="190"/>
      <c r="K54" s="190"/>
      <c r="L54" s="190"/>
      <c r="M54" s="173">
        <f t="shared" si="10"/>
        <v>5</v>
      </c>
      <c r="N54" s="173"/>
      <c r="O54" s="173">
        <f t="shared" si="11"/>
        <v>2</v>
      </c>
      <c r="P54" s="173"/>
      <c r="Q54" s="173">
        <f t="shared" si="12"/>
        <v>1</v>
      </c>
      <c r="R54" s="268"/>
      <c r="S54" s="269" t="s">
        <v>419</v>
      </c>
      <c r="T54" s="269"/>
      <c r="U54" s="269"/>
      <c r="V54" s="269"/>
      <c r="W54" s="269"/>
      <c r="X54" s="198">
        <v>10</v>
      </c>
      <c r="Y54" s="198"/>
      <c r="Z54" s="190"/>
      <c r="AA54" s="190"/>
      <c r="AB54" s="190"/>
      <c r="AC54" s="190"/>
      <c r="AD54" s="173">
        <f t="shared" si="9"/>
        <v>10</v>
      </c>
      <c r="AE54" s="173"/>
      <c r="AF54" s="173">
        <f t="shared" si="13"/>
        <v>5</v>
      </c>
      <c r="AG54" s="173"/>
      <c r="AH54" s="173">
        <f t="shared" si="14"/>
        <v>2</v>
      </c>
      <c r="AI54" s="189"/>
      <c r="AJ54" s="39"/>
    </row>
    <row r="55" spans="1:36" x14ac:dyDescent="0.2">
      <c r="A55" s="34"/>
      <c r="B55" s="275" t="s">
        <v>298</v>
      </c>
      <c r="C55" s="272"/>
      <c r="D55" s="272"/>
      <c r="E55" s="272"/>
      <c r="F55" s="272"/>
      <c r="G55" s="273">
        <v>15</v>
      </c>
      <c r="H55" s="273"/>
      <c r="I55" s="274"/>
      <c r="J55" s="274"/>
      <c r="K55" s="274"/>
      <c r="L55" s="274"/>
      <c r="M55" s="199">
        <f t="shared" si="10"/>
        <v>15</v>
      </c>
      <c r="N55" s="199"/>
      <c r="O55" s="199">
        <f t="shared" si="11"/>
        <v>7</v>
      </c>
      <c r="P55" s="199"/>
      <c r="Q55" s="199">
        <f t="shared" si="12"/>
        <v>3</v>
      </c>
      <c r="R55" s="271"/>
      <c r="S55" s="272" t="s">
        <v>313</v>
      </c>
      <c r="T55" s="272"/>
      <c r="U55" s="272"/>
      <c r="V55" s="272"/>
      <c r="W55" s="272"/>
      <c r="X55" s="273">
        <v>10</v>
      </c>
      <c r="Y55" s="273"/>
      <c r="Z55" s="274"/>
      <c r="AA55" s="274"/>
      <c r="AB55" s="274"/>
      <c r="AC55" s="274"/>
      <c r="AD55" s="199">
        <f t="shared" si="9"/>
        <v>10</v>
      </c>
      <c r="AE55" s="199"/>
      <c r="AF55" s="199">
        <f t="shared" si="13"/>
        <v>5</v>
      </c>
      <c r="AG55" s="199"/>
      <c r="AH55" s="199">
        <f t="shared" si="14"/>
        <v>2</v>
      </c>
      <c r="AI55" s="270"/>
      <c r="AJ55" s="39"/>
    </row>
    <row r="56" spans="1:36" x14ac:dyDescent="0.2">
      <c r="A56" s="34"/>
      <c r="B56" s="266" t="s">
        <v>299</v>
      </c>
      <c r="C56" s="267"/>
      <c r="D56" s="267"/>
      <c r="E56" s="267"/>
      <c r="F56" s="267"/>
      <c r="G56" s="198">
        <v>20</v>
      </c>
      <c r="H56" s="198"/>
      <c r="I56" s="190"/>
      <c r="J56" s="190"/>
      <c r="K56" s="190"/>
      <c r="L56" s="190"/>
      <c r="M56" s="173">
        <f t="shared" si="10"/>
        <v>20</v>
      </c>
      <c r="N56" s="173"/>
      <c r="O56" s="173">
        <f t="shared" si="11"/>
        <v>10</v>
      </c>
      <c r="P56" s="173"/>
      <c r="Q56" s="173">
        <f t="shared" si="12"/>
        <v>4</v>
      </c>
      <c r="R56" s="268"/>
      <c r="S56" s="269" t="s">
        <v>314</v>
      </c>
      <c r="T56" s="269"/>
      <c r="U56" s="269"/>
      <c r="V56" s="269"/>
      <c r="W56" s="269"/>
      <c r="X56" s="198">
        <v>5</v>
      </c>
      <c r="Y56" s="198"/>
      <c r="Z56" s="190"/>
      <c r="AA56" s="190"/>
      <c r="AB56" s="190"/>
      <c r="AC56" s="190"/>
      <c r="AD56" s="173">
        <f t="shared" si="9"/>
        <v>5</v>
      </c>
      <c r="AE56" s="173"/>
      <c r="AF56" s="173">
        <f t="shared" si="13"/>
        <v>2</v>
      </c>
      <c r="AG56" s="173"/>
      <c r="AH56" s="173">
        <f t="shared" si="14"/>
        <v>1</v>
      </c>
      <c r="AI56" s="189"/>
      <c r="AJ56" s="39"/>
    </row>
    <row r="57" spans="1:36" x14ac:dyDescent="0.2">
      <c r="A57" s="34"/>
      <c r="B57" s="275" t="str">
        <f>IF(E8="现代","计算机使用","Ω")</f>
        <v>Ω</v>
      </c>
      <c r="C57" s="272"/>
      <c r="D57" s="272"/>
      <c r="E57" s="272"/>
      <c r="F57" s="272"/>
      <c r="G57" s="273">
        <v>5</v>
      </c>
      <c r="H57" s="273"/>
      <c r="I57" s="274"/>
      <c r="J57" s="274"/>
      <c r="K57" s="274"/>
      <c r="L57" s="274"/>
      <c r="M57" s="199">
        <f t="shared" si="10"/>
        <v>5</v>
      </c>
      <c r="N57" s="199"/>
      <c r="O57" s="199">
        <f t="shared" si="11"/>
        <v>2</v>
      </c>
      <c r="P57" s="199"/>
      <c r="Q57" s="199">
        <f t="shared" si="12"/>
        <v>1</v>
      </c>
      <c r="R57" s="271"/>
      <c r="S57" s="272" t="s">
        <v>315</v>
      </c>
      <c r="T57" s="272"/>
      <c r="U57" s="272"/>
      <c r="V57" s="272"/>
      <c r="W57" s="272"/>
      <c r="X57" s="273">
        <v>1</v>
      </c>
      <c r="Y57" s="273"/>
      <c r="Z57" s="274"/>
      <c r="AA57" s="274"/>
      <c r="AB57" s="274"/>
      <c r="AC57" s="274"/>
      <c r="AD57" s="199">
        <f t="shared" si="9"/>
        <v>1</v>
      </c>
      <c r="AE57" s="199"/>
      <c r="AF57" s="199">
        <f t="shared" si="13"/>
        <v>0</v>
      </c>
      <c r="AG57" s="199"/>
      <c r="AH57" s="199">
        <f t="shared" si="14"/>
        <v>0</v>
      </c>
      <c r="AI57" s="270"/>
      <c r="AJ57" s="39"/>
    </row>
    <row r="58" spans="1:36" x14ac:dyDescent="0.2">
      <c r="A58" s="34"/>
      <c r="B58" s="266" t="s">
        <v>402</v>
      </c>
      <c r="C58" s="267"/>
      <c r="D58" s="267"/>
      <c r="E58" s="267"/>
      <c r="F58" s="267"/>
      <c r="G58" s="198">
        <v>0</v>
      </c>
      <c r="H58" s="198"/>
      <c r="I58" s="284"/>
      <c r="J58" s="284"/>
      <c r="K58" s="190"/>
      <c r="L58" s="190"/>
      <c r="M58" s="173">
        <f t="shared" si="10"/>
        <v>0</v>
      </c>
      <c r="N58" s="173"/>
      <c r="O58" s="173">
        <f t="shared" si="11"/>
        <v>0</v>
      </c>
      <c r="P58" s="173"/>
      <c r="Q58" s="173">
        <f t="shared" si="12"/>
        <v>0</v>
      </c>
      <c r="R58" s="268"/>
      <c r="S58" s="269" t="s">
        <v>77</v>
      </c>
      <c r="T58" s="269"/>
      <c r="U58" s="269"/>
      <c r="V58" s="269"/>
      <c r="W58" s="269"/>
      <c r="X58" s="198">
        <v>10</v>
      </c>
      <c r="Y58" s="198"/>
      <c r="Z58" s="190"/>
      <c r="AA58" s="190"/>
      <c r="AB58" s="190"/>
      <c r="AC58" s="190"/>
      <c r="AD58" s="173">
        <f t="shared" si="9"/>
        <v>10</v>
      </c>
      <c r="AE58" s="173"/>
      <c r="AF58" s="173">
        <f t="shared" si="13"/>
        <v>5</v>
      </c>
      <c r="AG58" s="173"/>
      <c r="AH58" s="173">
        <f t="shared" si="14"/>
        <v>2</v>
      </c>
      <c r="AI58" s="189"/>
      <c r="AJ58" s="39"/>
    </row>
    <row r="59" spans="1:36" x14ac:dyDescent="0.2">
      <c r="A59" s="34"/>
      <c r="B59" s="275" t="s">
        <v>300</v>
      </c>
      <c r="C59" s="272"/>
      <c r="D59" s="272"/>
      <c r="E59" s="272"/>
      <c r="F59" s="272"/>
      <c r="G59" s="273">
        <v>0</v>
      </c>
      <c r="H59" s="273"/>
      <c r="I59" s="274" t="s">
        <v>34</v>
      </c>
      <c r="J59" s="274"/>
      <c r="K59" s="274" t="s">
        <v>34</v>
      </c>
      <c r="L59" s="274" t="s">
        <v>34</v>
      </c>
      <c r="M59" s="199">
        <f t="shared" si="10"/>
        <v>0</v>
      </c>
      <c r="N59" s="199"/>
      <c r="O59" s="199">
        <f t="shared" si="11"/>
        <v>0</v>
      </c>
      <c r="P59" s="199"/>
      <c r="Q59" s="199">
        <f t="shared" si="12"/>
        <v>0</v>
      </c>
      <c r="R59" s="271"/>
      <c r="S59" s="285" t="s">
        <v>329</v>
      </c>
      <c r="T59" s="281"/>
      <c r="U59" s="286"/>
      <c r="V59" s="286"/>
      <c r="W59" s="287"/>
      <c r="X59" s="273">
        <v>1</v>
      </c>
      <c r="Y59" s="273"/>
      <c r="Z59" s="274"/>
      <c r="AA59" s="274"/>
      <c r="AB59" s="274"/>
      <c r="AC59" s="274"/>
      <c r="AD59" s="199">
        <f t="shared" si="9"/>
        <v>1</v>
      </c>
      <c r="AE59" s="199"/>
      <c r="AF59" s="199">
        <f t="shared" si="13"/>
        <v>0</v>
      </c>
      <c r="AG59" s="199"/>
      <c r="AH59" s="199">
        <f t="shared" si="14"/>
        <v>0</v>
      </c>
      <c r="AI59" s="270"/>
      <c r="AJ59" s="39"/>
    </row>
    <row r="60" spans="1:36" x14ac:dyDescent="0.2">
      <c r="A60" s="34"/>
      <c r="B60" s="266" t="s">
        <v>301</v>
      </c>
      <c r="C60" s="267"/>
      <c r="D60" s="267"/>
      <c r="E60" s="267"/>
      <c r="F60" s="267"/>
      <c r="G60" s="198">
        <v>5</v>
      </c>
      <c r="H60" s="198"/>
      <c r="I60" s="190"/>
      <c r="J60" s="190"/>
      <c r="K60" s="190"/>
      <c r="L60" s="190"/>
      <c r="M60" s="173">
        <f t="shared" si="10"/>
        <v>5</v>
      </c>
      <c r="N60" s="173"/>
      <c r="O60" s="173">
        <f t="shared" si="11"/>
        <v>2</v>
      </c>
      <c r="P60" s="173"/>
      <c r="Q60" s="173">
        <f t="shared" si="12"/>
        <v>1</v>
      </c>
      <c r="R60" s="268"/>
      <c r="S60" s="269" t="s">
        <v>316</v>
      </c>
      <c r="T60" s="269"/>
      <c r="U60" s="269"/>
      <c r="V60" s="269"/>
      <c r="W60" s="269"/>
      <c r="X60" s="198">
        <v>1</v>
      </c>
      <c r="Y60" s="198"/>
      <c r="Z60" s="190"/>
      <c r="AA60" s="190"/>
      <c r="AB60" s="190"/>
      <c r="AC60" s="190"/>
      <c r="AD60" s="173">
        <f t="shared" si="9"/>
        <v>1</v>
      </c>
      <c r="AE60" s="173"/>
      <c r="AF60" s="173">
        <f t="shared" si="13"/>
        <v>0</v>
      </c>
      <c r="AG60" s="173"/>
      <c r="AH60" s="173">
        <f t="shared" si="14"/>
        <v>0</v>
      </c>
      <c r="AI60" s="189"/>
      <c r="AJ60" s="39"/>
    </row>
    <row r="61" spans="1:36" x14ac:dyDescent="0.2">
      <c r="A61" s="34"/>
      <c r="B61" s="275" t="s">
        <v>302</v>
      </c>
      <c r="C61" s="272"/>
      <c r="D61" s="272"/>
      <c r="E61" s="272"/>
      <c r="F61" s="272"/>
      <c r="G61" s="273">
        <f>INT(DEX/2)</f>
        <v>0</v>
      </c>
      <c r="H61" s="273"/>
      <c r="I61" s="274"/>
      <c r="J61" s="274"/>
      <c r="K61" s="274"/>
      <c r="L61" s="274"/>
      <c r="M61" s="199">
        <f t="shared" si="10"/>
        <v>0</v>
      </c>
      <c r="N61" s="199"/>
      <c r="O61" s="199">
        <f t="shared" si="11"/>
        <v>0</v>
      </c>
      <c r="P61" s="199"/>
      <c r="Q61" s="199">
        <f t="shared" si="12"/>
        <v>0</v>
      </c>
      <c r="R61" s="271"/>
      <c r="S61" s="272" t="s">
        <v>317</v>
      </c>
      <c r="T61" s="272"/>
      <c r="U61" s="272"/>
      <c r="V61" s="272"/>
      <c r="W61" s="272"/>
      <c r="X61" s="273">
        <v>10</v>
      </c>
      <c r="Y61" s="273"/>
      <c r="Z61" s="274"/>
      <c r="AA61" s="274"/>
      <c r="AB61" s="274"/>
      <c r="AC61" s="274"/>
      <c r="AD61" s="199">
        <f t="shared" si="9"/>
        <v>10</v>
      </c>
      <c r="AE61" s="199"/>
      <c r="AF61" s="199">
        <f t="shared" si="13"/>
        <v>5</v>
      </c>
      <c r="AG61" s="199"/>
      <c r="AH61" s="199">
        <f t="shared" si="14"/>
        <v>2</v>
      </c>
      <c r="AI61" s="270"/>
      <c r="AJ61" s="39"/>
    </row>
    <row r="62" spans="1:36" x14ac:dyDescent="0.2">
      <c r="A62" s="34"/>
      <c r="B62" s="266" t="s">
        <v>601</v>
      </c>
      <c r="C62" s="267"/>
      <c r="D62" s="267"/>
      <c r="E62" s="267"/>
      <c r="F62" s="267"/>
      <c r="G62" s="198">
        <v>20</v>
      </c>
      <c r="H62" s="198"/>
      <c r="I62" s="190"/>
      <c r="J62" s="190"/>
      <c r="K62" s="190"/>
      <c r="L62" s="190"/>
      <c r="M62" s="173">
        <f t="shared" si="10"/>
        <v>20</v>
      </c>
      <c r="N62" s="173"/>
      <c r="O62" s="173">
        <f t="shared" si="11"/>
        <v>10</v>
      </c>
      <c r="P62" s="173"/>
      <c r="Q62" s="173">
        <f t="shared" si="12"/>
        <v>4</v>
      </c>
      <c r="R62" s="268"/>
      <c r="S62" s="269" t="s">
        <v>318</v>
      </c>
      <c r="T62" s="269"/>
      <c r="U62" s="269"/>
      <c r="V62" s="269"/>
      <c r="W62" s="269"/>
      <c r="X62" s="198">
        <v>5</v>
      </c>
      <c r="Y62" s="198"/>
      <c r="Z62" s="190"/>
      <c r="AA62" s="190"/>
      <c r="AB62" s="190"/>
      <c r="AC62" s="190"/>
      <c r="AD62" s="173">
        <f t="shared" si="9"/>
        <v>5</v>
      </c>
      <c r="AE62" s="173"/>
      <c r="AF62" s="173">
        <f t="shared" si="13"/>
        <v>2</v>
      </c>
      <c r="AG62" s="173"/>
      <c r="AH62" s="173">
        <f t="shared" si="14"/>
        <v>1</v>
      </c>
      <c r="AI62" s="189"/>
      <c r="AJ62" s="39"/>
    </row>
    <row r="63" spans="1:36" x14ac:dyDescent="0.2">
      <c r="A63" s="34"/>
      <c r="B63" s="275" t="s">
        <v>303</v>
      </c>
      <c r="C63" s="272"/>
      <c r="D63" s="272"/>
      <c r="E63" s="272"/>
      <c r="F63" s="272"/>
      <c r="G63" s="273">
        <v>10</v>
      </c>
      <c r="H63" s="273"/>
      <c r="I63" s="274"/>
      <c r="J63" s="274"/>
      <c r="K63" s="288"/>
      <c r="L63" s="289"/>
      <c r="M63" s="199">
        <f t="shared" si="10"/>
        <v>10</v>
      </c>
      <c r="N63" s="199"/>
      <c r="O63" s="199">
        <f t="shared" si="11"/>
        <v>5</v>
      </c>
      <c r="P63" s="199"/>
      <c r="Q63" s="199">
        <f t="shared" si="12"/>
        <v>2</v>
      </c>
      <c r="R63" s="271"/>
      <c r="S63" s="290" t="s">
        <v>328</v>
      </c>
      <c r="T63" s="291"/>
      <c r="U63" s="282" t="s">
        <v>19</v>
      </c>
      <c r="V63" s="282"/>
      <c r="W63" s="283"/>
      <c r="X63" s="273">
        <f>LOOKUP(U63,技能专攻!E4:E16,技能专攻!F4:F16)</f>
        <v>1</v>
      </c>
      <c r="Y63" s="273"/>
      <c r="Z63" s="274"/>
      <c r="AA63" s="274"/>
      <c r="AB63" s="274"/>
      <c r="AC63" s="274"/>
      <c r="AD63" s="199">
        <f t="shared" si="9"/>
        <v>1</v>
      </c>
      <c r="AE63" s="199"/>
      <c r="AF63" s="199">
        <f t="shared" si="13"/>
        <v>0</v>
      </c>
      <c r="AG63" s="199"/>
      <c r="AH63" s="199">
        <f t="shared" si="14"/>
        <v>0</v>
      </c>
      <c r="AI63" s="270"/>
      <c r="AJ63" s="39"/>
    </row>
    <row r="64" spans="1:36" x14ac:dyDescent="0.2">
      <c r="A64" s="34"/>
      <c r="B64" s="266" t="str">
        <f>IF(E8="现代","电子学","Ω")</f>
        <v>Ω</v>
      </c>
      <c r="C64" s="267"/>
      <c r="D64" s="267"/>
      <c r="E64" s="267"/>
      <c r="F64" s="267"/>
      <c r="G64" s="198">
        <v>1</v>
      </c>
      <c r="H64" s="198"/>
      <c r="I64" s="190"/>
      <c r="J64" s="190"/>
      <c r="K64" s="190"/>
      <c r="L64" s="190"/>
      <c r="M64" s="173">
        <f t="shared" si="10"/>
        <v>1</v>
      </c>
      <c r="N64" s="173"/>
      <c r="O64" s="173">
        <f t="shared" si="11"/>
        <v>0</v>
      </c>
      <c r="P64" s="173"/>
      <c r="Q64" s="173">
        <f t="shared" si="12"/>
        <v>0</v>
      </c>
      <c r="R64" s="268"/>
      <c r="S64" s="292" t="s">
        <v>328</v>
      </c>
      <c r="T64" s="293"/>
      <c r="U64" s="294"/>
      <c r="V64" s="294"/>
      <c r="W64" s="295"/>
      <c r="X64" s="198">
        <v>1</v>
      </c>
      <c r="Y64" s="198"/>
      <c r="Z64" s="190"/>
      <c r="AA64" s="190"/>
      <c r="AB64" s="190"/>
      <c r="AC64" s="190"/>
      <c r="AD64" s="173">
        <f t="shared" si="9"/>
        <v>1</v>
      </c>
      <c r="AE64" s="173"/>
      <c r="AF64" s="173">
        <f t="shared" si="13"/>
        <v>0</v>
      </c>
      <c r="AG64" s="173"/>
      <c r="AH64" s="173">
        <f t="shared" si="14"/>
        <v>0</v>
      </c>
      <c r="AI64" s="189"/>
      <c r="AJ64" s="39"/>
    </row>
    <row r="65" spans="1:36" x14ac:dyDescent="0.2">
      <c r="A65" s="34"/>
      <c r="B65" s="275" t="s">
        <v>304</v>
      </c>
      <c r="C65" s="272"/>
      <c r="D65" s="272"/>
      <c r="E65" s="272"/>
      <c r="F65" s="272"/>
      <c r="G65" s="273">
        <v>5</v>
      </c>
      <c r="H65" s="273"/>
      <c r="I65" s="274"/>
      <c r="J65" s="274"/>
      <c r="K65" s="274"/>
      <c r="L65" s="274"/>
      <c r="M65" s="199">
        <f t="shared" si="10"/>
        <v>5</v>
      </c>
      <c r="N65" s="199"/>
      <c r="O65" s="199">
        <f t="shared" si="11"/>
        <v>2</v>
      </c>
      <c r="P65" s="199"/>
      <c r="Q65" s="199">
        <f t="shared" si="12"/>
        <v>1</v>
      </c>
      <c r="R65" s="271"/>
      <c r="S65" s="290" t="s">
        <v>328</v>
      </c>
      <c r="T65" s="291"/>
      <c r="U65" s="282"/>
      <c r="V65" s="282"/>
      <c r="W65" s="283"/>
      <c r="X65" s="273">
        <v>1</v>
      </c>
      <c r="Y65" s="273"/>
      <c r="Z65" s="274"/>
      <c r="AA65" s="274"/>
      <c r="AB65" s="274"/>
      <c r="AC65" s="274"/>
      <c r="AD65" s="199">
        <f t="shared" si="9"/>
        <v>1</v>
      </c>
      <c r="AE65" s="199"/>
      <c r="AF65" s="199">
        <f t="shared" si="13"/>
        <v>0</v>
      </c>
      <c r="AG65" s="199"/>
      <c r="AH65" s="199">
        <f t="shared" si="14"/>
        <v>0</v>
      </c>
      <c r="AI65" s="270"/>
      <c r="AJ65" s="39"/>
    </row>
    <row r="66" spans="1:36" x14ac:dyDescent="0.2">
      <c r="A66" s="34"/>
      <c r="B66" s="300" t="s">
        <v>326</v>
      </c>
      <c r="C66" s="301"/>
      <c r="D66" s="302" t="s">
        <v>74</v>
      </c>
      <c r="E66" s="302"/>
      <c r="F66" s="303"/>
      <c r="G66" s="198">
        <v>25</v>
      </c>
      <c r="H66" s="198"/>
      <c r="I66" s="190"/>
      <c r="J66" s="190"/>
      <c r="K66" s="190"/>
      <c r="L66" s="190"/>
      <c r="M66" s="173">
        <f t="shared" si="10"/>
        <v>25</v>
      </c>
      <c r="N66" s="173"/>
      <c r="O66" s="173">
        <f t="shared" si="11"/>
        <v>12</v>
      </c>
      <c r="P66" s="173"/>
      <c r="Q66" s="173">
        <f t="shared" si="12"/>
        <v>5</v>
      </c>
      <c r="R66" s="268"/>
      <c r="S66" s="269" t="s">
        <v>320</v>
      </c>
      <c r="T66" s="269"/>
      <c r="U66" s="269"/>
      <c r="V66" s="269"/>
      <c r="W66" s="269"/>
      <c r="X66" s="198">
        <v>10</v>
      </c>
      <c r="Y66" s="198"/>
      <c r="Z66" s="190"/>
      <c r="AA66" s="190"/>
      <c r="AB66" s="190"/>
      <c r="AC66" s="190"/>
      <c r="AD66" s="173">
        <f t="shared" si="9"/>
        <v>10</v>
      </c>
      <c r="AE66" s="173"/>
      <c r="AF66" s="173">
        <f t="shared" si="13"/>
        <v>5</v>
      </c>
      <c r="AG66" s="173"/>
      <c r="AH66" s="173">
        <f t="shared" si="14"/>
        <v>2</v>
      </c>
      <c r="AI66" s="189"/>
      <c r="AJ66" s="39"/>
    </row>
    <row r="67" spans="1:36" x14ac:dyDescent="0.2">
      <c r="A67" s="34"/>
      <c r="B67" s="296" t="s">
        <v>326</v>
      </c>
      <c r="C67" s="297"/>
      <c r="D67" s="298" t="s">
        <v>401</v>
      </c>
      <c r="E67" s="298"/>
      <c r="F67" s="299"/>
      <c r="G67" s="273">
        <f>LOOKUP(D67,技能专攻!H4:H11,技能专攻!I4:I11)</f>
        <v>20</v>
      </c>
      <c r="H67" s="273"/>
      <c r="I67" s="274"/>
      <c r="J67" s="274"/>
      <c r="K67" s="274"/>
      <c r="L67" s="274"/>
      <c r="M67" s="199">
        <f t="shared" si="10"/>
        <v>20</v>
      </c>
      <c r="N67" s="199"/>
      <c r="O67" s="199">
        <f t="shared" si="11"/>
        <v>10</v>
      </c>
      <c r="P67" s="199"/>
      <c r="Q67" s="199">
        <f t="shared" si="12"/>
        <v>4</v>
      </c>
      <c r="R67" s="271"/>
      <c r="S67" s="272" t="s">
        <v>722</v>
      </c>
      <c r="T67" s="272"/>
      <c r="U67" s="272"/>
      <c r="V67" s="272"/>
      <c r="W67" s="272"/>
      <c r="X67" s="273">
        <v>25</v>
      </c>
      <c r="Y67" s="273"/>
      <c r="Z67" s="274"/>
      <c r="AA67" s="274"/>
      <c r="AB67" s="274"/>
      <c r="AC67" s="274"/>
      <c r="AD67" s="199">
        <f t="shared" si="9"/>
        <v>25</v>
      </c>
      <c r="AE67" s="199"/>
      <c r="AF67" s="199">
        <f t="shared" si="13"/>
        <v>12</v>
      </c>
      <c r="AG67" s="199"/>
      <c r="AH67" s="199">
        <f t="shared" si="14"/>
        <v>5</v>
      </c>
      <c r="AI67" s="270"/>
      <c r="AJ67" s="39"/>
    </row>
    <row r="68" spans="1:36" x14ac:dyDescent="0.2">
      <c r="A68" s="34"/>
      <c r="B68" s="309" t="s">
        <v>326</v>
      </c>
      <c r="C68" s="310"/>
      <c r="D68" s="311"/>
      <c r="E68" s="311"/>
      <c r="F68" s="312"/>
      <c r="G68" s="190"/>
      <c r="H68" s="190"/>
      <c r="I68" s="190"/>
      <c r="J68" s="190"/>
      <c r="K68" s="190"/>
      <c r="L68" s="190"/>
      <c r="M68" s="173">
        <f t="shared" si="10"/>
        <v>0</v>
      </c>
      <c r="N68" s="173"/>
      <c r="O68" s="173">
        <f t="shared" si="11"/>
        <v>0</v>
      </c>
      <c r="P68" s="173"/>
      <c r="Q68" s="173">
        <f t="shared" si="12"/>
        <v>0</v>
      </c>
      <c r="R68" s="268"/>
      <c r="S68" s="269" t="s">
        <v>321</v>
      </c>
      <c r="T68" s="269"/>
      <c r="U68" s="269"/>
      <c r="V68" s="269"/>
      <c r="W68" s="269"/>
      <c r="X68" s="198">
        <v>20</v>
      </c>
      <c r="Y68" s="198"/>
      <c r="Z68" s="190"/>
      <c r="AA68" s="190"/>
      <c r="AB68" s="190"/>
      <c r="AC68" s="190"/>
      <c r="AD68" s="173">
        <f t="shared" si="9"/>
        <v>20</v>
      </c>
      <c r="AE68" s="173"/>
      <c r="AF68" s="173">
        <f t="shared" si="13"/>
        <v>10</v>
      </c>
      <c r="AG68" s="173"/>
      <c r="AH68" s="173">
        <f t="shared" si="14"/>
        <v>4</v>
      </c>
      <c r="AI68" s="189"/>
      <c r="AJ68" s="39"/>
    </row>
    <row r="69" spans="1:36" x14ac:dyDescent="0.2">
      <c r="A69" s="34"/>
      <c r="B69" s="304" t="s">
        <v>327</v>
      </c>
      <c r="C69" s="305"/>
      <c r="D69" s="287" t="s">
        <v>78</v>
      </c>
      <c r="E69" s="306"/>
      <c r="F69" s="306"/>
      <c r="G69" s="307">
        <f>LOOKUP(D69,技能专攻!K3:K9,技能专攻!L3:L9)</f>
        <v>20</v>
      </c>
      <c r="H69" s="308"/>
      <c r="I69" s="274"/>
      <c r="J69" s="274"/>
      <c r="K69" s="274"/>
      <c r="L69" s="274"/>
      <c r="M69" s="199">
        <f t="shared" si="10"/>
        <v>20</v>
      </c>
      <c r="N69" s="199"/>
      <c r="O69" s="199">
        <f t="shared" si="11"/>
        <v>10</v>
      </c>
      <c r="P69" s="199"/>
      <c r="Q69" s="199">
        <f t="shared" si="12"/>
        <v>4</v>
      </c>
      <c r="R69" s="271"/>
      <c r="S69" s="285" t="s">
        <v>355</v>
      </c>
      <c r="T69" s="281"/>
      <c r="U69" s="315"/>
      <c r="V69" s="315"/>
      <c r="W69" s="316"/>
      <c r="X69" s="273">
        <v>10</v>
      </c>
      <c r="Y69" s="273"/>
      <c r="Z69" s="274"/>
      <c r="AA69" s="274"/>
      <c r="AB69" s="274"/>
      <c r="AC69" s="274"/>
      <c r="AD69" s="199">
        <f t="shared" si="9"/>
        <v>10</v>
      </c>
      <c r="AE69" s="199"/>
      <c r="AF69" s="199">
        <f t="shared" si="13"/>
        <v>5</v>
      </c>
      <c r="AG69" s="199"/>
      <c r="AH69" s="199">
        <f t="shared" si="14"/>
        <v>2</v>
      </c>
      <c r="AI69" s="270"/>
      <c r="AJ69" s="39"/>
    </row>
    <row r="70" spans="1:36" x14ac:dyDescent="0.2">
      <c r="A70" s="34"/>
      <c r="B70" s="317" t="s">
        <v>327</v>
      </c>
      <c r="C70" s="318"/>
      <c r="D70" s="319" t="s">
        <v>324</v>
      </c>
      <c r="E70" s="319"/>
      <c r="F70" s="320"/>
      <c r="G70" s="313">
        <f>LOOKUP(D70,技能专攻!K4:K10,技能专攻!L4:L10)</f>
        <v>25</v>
      </c>
      <c r="H70" s="314"/>
      <c r="I70" s="190"/>
      <c r="J70" s="190"/>
      <c r="K70" s="190"/>
      <c r="L70" s="190"/>
      <c r="M70" s="173">
        <f t="shared" si="10"/>
        <v>25</v>
      </c>
      <c r="N70" s="173"/>
      <c r="O70" s="173">
        <f t="shared" si="11"/>
        <v>12</v>
      </c>
      <c r="P70" s="173"/>
      <c r="Q70" s="173">
        <f t="shared" si="12"/>
        <v>5</v>
      </c>
      <c r="R70" s="268"/>
      <c r="S70" s="269" t="s">
        <v>322</v>
      </c>
      <c r="T70" s="269"/>
      <c r="U70" s="269"/>
      <c r="V70" s="269"/>
      <c r="W70" s="269"/>
      <c r="X70" s="198">
        <v>20</v>
      </c>
      <c r="Y70" s="198"/>
      <c r="Z70" s="190"/>
      <c r="AA70" s="190"/>
      <c r="AB70" s="190"/>
      <c r="AC70" s="190"/>
      <c r="AD70" s="173">
        <f t="shared" si="9"/>
        <v>20</v>
      </c>
      <c r="AE70" s="173"/>
      <c r="AF70" s="173">
        <f t="shared" si="13"/>
        <v>10</v>
      </c>
      <c r="AG70" s="173"/>
      <c r="AH70" s="173">
        <f t="shared" si="14"/>
        <v>4</v>
      </c>
      <c r="AI70" s="189"/>
      <c r="AJ70" s="39"/>
    </row>
    <row r="71" spans="1:36" x14ac:dyDescent="0.2">
      <c r="A71" s="34"/>
      <c r="B71" s="304" t="s">
        <v>327</v>
      </c>
      <c r="C71" s="305"/>
      <c r="D71" s="286"/>
      <c r="E71" s="286"/>
      <c r="F71" s="287"/>
      <c r="G71" s="274"/>
      <c r="H71" s="274"/>
      <c r="I71" s="274"/>
      <c r="J71" s="274"/>
      <c r="K71" s="274"/>
      <c r="L71" s="274"/>
      <c r="M71" s="199">
        <f t="shared" si="10"/>
        <v>0</v>
      </c>
      <c r="N71" s="199"/>
      <c r="O71" s="199">
        <f t="shared" si="11"/>
        <v>0</v>
      </c>
      <c r="P71" s="199"/>
      <c r="Q71" s="199">
        <f t="shared" si="12"/>
        <v>0</v>
      </c>
      <c r="R71" s="271"/>
      <c r="S71" s="272" t="s">
        <v>323</v>
      </c>
      <c r="T71" s="272"/>
      <c r="U71" s="272"/>
      <c r="V71" s="272"/>
      <c r="W71" s="272"/>
      <c r="X71" s="273">
        <v>20</v>
      </c>
      <c r="Y71" s="273"/>
      <c r="Z71" s="274"/>
      <c r="AA71" s="274"/>
      <c r="AB71" s="274"/>
      <c r="AC71" s="274"/>
      <c r="AD71" s="199">
        <f t="shared" si="9"/>
        <v>20</v>
      </c>
      <c r="AE71" s="199"/>
      <c r="AF71" s="199">
        <f t="shared" si="13"/>
        <v>10</v>
      </c>
      <c r="AG71" s="199"/>
      <c r="AH71" s="199">
        <f t="shared" si="14"/>
        <v>4</v>
      </c>
      <c r="AI71" s="270"/>
      <c r="AJ71" s="39"/>
    </row>
    <row r="72" spans="1:36" x14ac:dyDescent="0.2">
      <c r="A72" s="34"/>
      <c r="B72" s="266" t="s">
        <v>305</v>
      </c>
      <c r="C72" s="267"/>
      <c r="D72" s="267"/>
      <c r="E72" s="267"/>
      <c r="F72" s="267"/>
      <c r="G72" s="198">
        <v>30</v>
      </c>
      <c r="H72" s="198"/>
      <c r="I72" s="190"/>
      <c r="J72" s="190"/>
      <c r="K72" s="190"/>
      <c r="L72" s="190"/>
      <c r="M72" s="173">
        <f t="shared" si="10"/>
        <v>30</v>
      </c>
      <c r="N72" s="173"/>
      <c r="O72" s="173">
        <f t="shared" si="11"/>
        <v>15</v>
      </c>
      <c r="P72" s="173"/>
      <c r="Q72" s="173">
        <f t="shared" si="12"/>
        <v>6</v>
      </c>
      <c r="R72" s="268"/>
      <c r="S72" s="269" t="s">
        <v>319</v>
      </c>
      <c r="T72" s="269"/>
      <c r="U72" s="269"/>
      <c r="V72" s="269"/>
      <c r="W72" s="269"/>
      <c r="X72" s="198">
        <v>10</v>
      </c>
      <c r="Y72" s="198"/>
      <c r="Z72" s="190"/>
      <c r="AA72" s="190"/>
      <c r="AB72" s="190"/>
      <c r="AC72" s="190"/>
      <c r="AD72" s="173">
        <f t="shared" si="9"/>
        <v>10</v>
      </c>
      <c r="AE72" s="173"/>
      <c r="AF72" s="173">
        <f t="shared" si="13"/>
        <v>5</v>
      </c>
      <c r="AG72" s="173"/>
      <c r="AH72" s="173">
        <f t="shared" si="14"/>
        <v>2</v>
      </c>
      <c r="AI72" s="189"/>
      <c r="AJ72" s="39"/>
    </row>
    <row r="73" spans="1:36" x14ac:dyDescent="0.2">
      <c r="A73" s="34"/>
      <c r="B73" s="275" t="s">
        <v>306</v>
      </c>
      <c r="C73" s="272"/>
      <c r="D73" s="272"/>
      <c r="E73" s="272"/>
      <c r="F73" s="272"/>
      <c r="G73" s="273">
        <v>5</v>
      </c>
      <c r="H73" s="273"/>
      <c r="I73" s="274"/>
      <c r="J73" s="274"/>
      <c r="K73" s="274"/>
      <c r="L73" s="274"/>
      <c r="M73" s="199">
        <f t="shared" si="10"/>
        <v>5</v>
      </c>
      <c r="N73" s="199"/>
      <c r="O73" s="199">
        <f t="shared" si="11"/>
        <v>2</v>
      </c>
      <c r="P73" s="199"/>
      <c r="Q73" s="199">
        <f t="shared" si="12"/>
        <v>1</v>
      </c>
      <c r="R73" s="271"/>
      <c r="S73" s="206" t="s">
        <v>344</v>
      </c>
      <c r="T73" s="207"/>
      <c r="U73" s="207"/>
      <c r="V73" s="207"/>
      <c r="W73" s="208"/>
      <c r="X73" s="273">
        <f>LOOKUP(S73,技能专攻!N4:N9,技能专攻!O4:O9)</f>
        <v>1</v>
      </c>
      <c r="Y73" s="273"/>
      <c r="Z73" s="274"/>
      <c r="AA73" s="274"/>
      <c r="AB73" s="274"/>
      <c r="AC73" s="274"/>
      <c r="AD73" s="199">
        <f t="shared" si="9"/>
        <v>1</v>
      </c>
      <c r="AE73" s="199"/>
      <c r="AF73" s="199">
        <f t="shared" si="13"/>
        <v>0</v>
      </c>
      <c r="AG73" s="199"/>
      <c r="AH73" s="199">
        <f t="shared" si="14"/>
        <v>0</v>
      </c>
      <c r="AI73" s="270"/>
      <c r="AJ73" s="39"/>
    </row>
    <row r="74" spans="1:36" x14ac:dyDescent="0.2">
      <c r="A74" s="34"/>
      <c r="B74" s="266" t="s">
        <v>307</v>
      </c>
      <c r="C74" s="267"/>
      <c r="D74" s="267"/>
      <c r="E74" s="267"/>
      <c r="F74" s="267"/>
      <c r="G74" s="198">
        <v>15</v>
      </c>
      <c r="H74" s="198"/>
      <c r="I74" s="190"/>
      <c r="J74" s="190"/>
      <c r="K74" s="190"/>
      <c r="L74" s="190"/>
      <c r="M74" s="173">
        <f t="shared" si="10"/>
        <v>15</v>
      </c>
      <c r="N74" s="173"/>
      <c r="O74" s="173">
        <f t="shared" si="11"/>
        <v>7</v>
      </c>
      <c r="P74" s="173"/>
      <c r="Q74" s="173">
        <f t="shared" si="12"/>
        <v>3</v>
      </c>
      <c r="R74" s="268"/>
      <c r="S74" s="323"/>
      <c r="T74" s="324"/>
      <c r="U74" s="324"/>
      <c r="V74" s="324"/>
      <c r="W74" s="325"/>
      <c r="X74" s="190"/>
      <c r="Y74" s="190"/>
      <c r="Z74" s="190"/>
      <c r="AA74" s="190"/>
      <c r="AB74" s="190"/>
      <c r="AC74" s="190"/>
      <c r="AD74" s="173">
        <f t="shared" si="9"/>
        <v>0</v>
      </c>
      <c r="AE74" s="173"/>
      <c r="AF74" s="173">
        <f t="shared" si="13"/>
        <v>0</v>
      </c>
      <c r="AG74" s="173"/>
      <c r="AH74" s="173">
        <f t="shared" si="14"/>
        <v>0</v>
      </c>
      <c r="AI74" s="189"/>
      <c r="AJ74" s="39"/>
    </row>
    <row r="75" spans="1:36" x14ac:dyDescent="0.2">
      <c r="A75" s="34"/>
      <c r="B75" s="275" t="s">
        <v>308</v>
      </c>
      <c r="C75" s="272"/>
      <c r="D75" s="272"/>
      <c r="E75" s="272"/>
      <c r="F75" s="272"/>
      <c r="G75" s="273">
        <v>20</v>
      </c>
      <c r="H75" s="273"/>
      <c r="I75" s="274"/>
      <c r="J75" s="274"/>
      <c r="K75" s="274"/>
      <c r="L75" s="274"/>
      <c r="M75" s="199">
        <f t="shared" si="10"/>
        <v>20</v>
      </c>
      <c r="N75" s="199"/>
      <c r="O75" s="199">
        <f t="shared" si="11"/>
        <v>10</v>
      </c>
      <c r="P75" s="199"/>
      <c r="Q75" s="199">
        <f t="shared" si="12"/>
        <v>4</v>
      </c>
      <c r="R75" s="271"/>
      <c r="S75" s="321"/>
      <c r="T75" s="321"/>
      <c r="U75" s="321"/>
      <c r="V75" s="321"/>
      <c r="W75" s="321"/>
      <c r="X75" s="274"/>
      <c r="Y75" s="274"/>
      <c r="Z75" s="274"/>
      <c r="AA75" s="274"/>
      <c r="AB75" s="274"/>
      <c r="AC75" s="274"/>
      <c r="AD75" s="199">
        <f t="shared" si="9"/>
        <v>0</v>
      </c>
      <c r="AE75" s="199"/>
      <c r="AF75" s="199">
        <f t="shared" si="13"/>
        <v>0</v>
      </c>
      <c r="AG75" s="199"/>
      <c r="AH75" s="199">
        <f t="shared" si="14"/>
        <v>0</v>
      </c>
      <c r="AI75" s="270"/>
      <c r="AJ75" s="39"/>
    </row>
    <row r="76" spans="1:36" x14ac:dyDescent="0.2">
      <c r="A76" s="34"/>
      <c r="B76" s="332" t="s">
        <v>416</v>
      </c>
      <c r="C76" s="333"/>
      <c r="D76" s="294"/>
      <c r="E76" s="294"/>
      <c r="F76" s="295"/>
      <c r="G76" s="190">
        <v>1</v>
      </c>
      <c r="H76" s="190"/>
      <c r="I76" s="190"/>
      <c r="J76" s="190"/>
      <c r="K76" s="190"/>
      <c r="L76" s="190"/>
      <c r="M76" s="173">
        <f t="shared" si="10"/>
        <v>1</v>
      </c>
      <c r="N76" s="173"/>
      <c r="O76" s="173">
        <f t="shared" si="11"/>
        <v>0</v>
      </c>
      <c r="P76" s="173"/>
      <c r="Q76" s="173">
        <f t="shared" si="12"/>
        <v>0</v>
      </c>
      <c r="R76" s="268"/>
      <c r="S76" s="339"/>
      <c r="T76" s="339"/>
      <c r="U76" s="339"/>
      <c r="V76" s="339"/>
      <c r="W76" s="339"/>
      <c r="X76" s="190"/>
      <c r="Y76" s="190"/>
      <c r="Z76" s="190"/>
      <c r="AA76" s="190"/>
      <c r="AB76" s="190"/>
      <c r="AC76" s="190"/>
      <c r="AD76" s="173">
        <f t="shared" si="9"/>
        <v>0</v>
      </c>
      <c r="AE76" s="173"/>
      <c r="AF76" s="173">
        <f t="shared" si="13"/>
        <v>0</v>
      </c>
      <c r="AG76" s="173"/>
      <c r="AH76" s="173">
        <f t="shared" si="14"/>
        <v>0</v>
      </c>
      <c r="AI76" s="189"/>
      <c r="AJ76" s="39"/>
    </row>
    <row r="77" spans="1:36" x14ac:dyDescent="0.2">
      <c r="A77" s="34"/>
      <c r="B77" s="322" t="s">
        <v>416</v>
      </c>
      <c r="C77" s="285"/>
      <c r="D77" s="282"/>
      <c r="E77" s="282"/>
      <c r="F77" s="283"/>
      <c r="G77" s="274">
        <v>1</v>
      </c>
      <c r="H77" s="274"/>
      <c r="I77" s="274"/>
      <c r="J77" s="274"/>
      <c r="K77" s="274"/>
      <c r="L77" s="274"/>
      <c r="M77" s="199">
        <f t="shared" si="10"/>
        <v>1</v>
      </c>
      <c r="N77" s="199"/>
      <c r="O77" s="199">
        <f t="shared" si="11"/>
        <v>0</v>
      </c>
      <c r="P77" s="199"/>
      <c r="Q77" s="199">
        <f t="shared" si="12"/>
        <v>0</v>
      </c>
      <c r="R77" s="271"/>
      <c r="S77" s="321"/>
      <c r="T77" s="321"/>
      <c r="U77" s="321"/>
      <c r="V77" s="321"/>
      <c r="W77" s="321"/>
      <c r="X77" s="274"/>
      <c r="Y77" s="274"/>
      <c r="Z77" s="274"/>
      <c r="AA77" s="274"/>
      <c r="AB77" s="274"/>
      <c r="AC77" s="274"/>
      <c r="AD77" s="199">
        <f t="shared" si="9"/>
        <v>0</v>
      </c>
      <c r="AE77" s="199"/>
      <c r="AF77" s="199">
        <f t="shared" si="13"/>
        <v>0</v>
      </c>
      <c r="AG77" s="199"/>
      <c r="AH77" s="199">
        <f t="shared" si="14"/>
        <v>0</v>
      </c>
      <c r="AI77" s="270"/>
      <c r="AJ77" s="39"/>
    </row>
    <row r="78" spans="1:36" x14ac:dyDescent="0.2">
      <c r="A78" s="34"/>
      <c r="B78" s="332" t="s">
        <v>416</v>
      </c>
      <c r="C78" s="333"/>
      <c r="D78" s="294"/>
      <c r="E78" s="294"/>
      <c r="F78" s="295"/>
      <c r="G78" s="190">
        <v>1</v>
      </c>
      <c r="H78" s="190"/>
      <c r="I78" s="190"/>
      <c r="J78" s="190"/>
      <c r="K78" s="190"/>
      <c r="L78" s="190"/>
      <c r="M78" s="173">
        <f t="shared" si="10"/>
        <v>1</v>
      </c>
      <c r="N78" s="173"/>
      <c r="O78" s="173">
        <f t="shared" si="11"/>
        <v>0</v>
      </c>
      <c r="P78" s="173"/>
      <c r="Q78" s="173">
        <f t="shared" si="12"/>
        <v>0</v>
      </c>
      <c r="R78" s="268"/>
      <c r="S78" s="323"/>
      <c r="T78" s="324"/>
      <c r="U78" s="324"/>
      <c r="V78" s="324"/>
      <c r="W78" s="325"/>
      <c r="X78" s="190"/>
      <c r="Y78" s="190"/>
      <c r="Z78" s="190"/>
      <c r="AA78" s="190"/>
      <c r="AB78" s="190"/>
      <c r="AC78" s="190"/>
      <c r="AD78" s="173">
        <f t="shared" si="9"/>
        <v>0</v>
      </c>
      <c r="AE78" s="173"/>
      <c r="AF78" s="173">
        <f t="shared" si="13"/>
        <v>0</v>
      </c>
      <c r="AG78" s="173"/>
      <c r="AH78" s="173">
        <f t="shared" si="14"/>
        <v>0</v>
      </c>
      <c r="AI78" s="189"/>
      <c r="AJ78" s="39"/>
    </row>
    <row r="79" spans="1:36" s="36" customFormat="1" ht="17.25" thickBot="1" x14ac:dyDescent="0.25">
      <c r="A79" s="34"/>
      <c r="B79" s="326" t="s">
        <v>330</v>
      </c>
      <c r="C79" s="327"/>
      <c r="D79" s="328"/>
      <c r="E79" s="328"/>
      <c r="F79" s="329"/>
      <c r="G79" s="330">
        <f>EDU</f>
        <v>0</v>
      </c>
      <c r="H79" s="330"/>
      <c r="I79" s="331"/>
      <c r="J79" s="331"/>
      <c r="K79" s="331"/>
      <c r="L79" s="331"/>
      <c r="M79" s="340">
        <f t="shared" si="10"/>
        <v>0</v>
      </c>
      <c r="N79" s="340"/>
      <c r="O79" s="340">
        <f t="shared" si="11"/>
        <v>0</v>
      </c>
      <c r="P79" s="340"/>
      <c r="Q79" s="340">
        <f t="shared" si="12"/>
        <v>0</v>
      </c>
      <c r="R79" s="341"/>
      <c r="S79" s="334" t="str">
        <f>"剩余职业点数="&amp;LOOKUP(OccNo,职业列表!A2:A116,职业列表!E2:E116)-SUM(I48:J79,Z48:AA79)&amp;"        剩余兴趣点数="&amp;INT*2-SUM(K48:L79,AB48:AC79)</f>
        <v>剩余职业点数=0        剩余兴趣点数=0</v>
      </c>
      <c r="T79" s="335"/>
      <c r="U79" s="335"/>
      <c r="V79" s="335"/>
      <c r="W79" s="335"/>
      <c r="X79" s="335"/>
      <c r="Y79" s="335"/>
      <c r="Z79" s="335"/>
      <c r="AA79" s="335"/>
      <c r="AB79" s="335"/>
      <c r="AC79" s="335"/>
      <c r="AD79" s="335"/>
      <c r="AE79" s="335"/>
      <c r="AF79" s="335"/>
      <c r="AG79" s="335"/>
      <c r="AH79" s="335"/>
      <c r="AI79" s="336"/>
      <c r="AJ79" s="35"/>
    </row>
    <row r="80" spans="1:36" s="36" customFormat="1" x14ac:dyDescent="0.2">
      <c r="A80" s="34"/>
      <c r="B80" s="195" t="s">
        <v>715</v>
      </c>
      <c r="C80" s="195"/>
      <c r="D80" s="195"/>
      <c r="E80" s="195"/>
      <c r="F80" s="195"/>
      <c r="G80" s="195"/>
      <c r="H80" s="195"/>
      <c r="I80" s="195"/>
      <c r="J80" s="195"/>
      <c r="K80" s="195"/>
      <c r="L80" s="195"/>
      <c r="M80" s="195"/>
      <c r="N80" s="195"/>
      <c r="O80" s="196" t="s">
        <v>592</v>
      </c>
      <c r="P80" s="196"/>
      <c r="Q80" s="196"/>
      <c r="R80" s="196"/>
      <c r="S80" s="196"/>
      <c r="T80" s="196"/>
      <c r="U80" s="196"/>
      <c r="V80" s="196"/>
      <c r="W80" s="195"/>
      <c r="X80" s="195"/>
      <c r="Y80" s="195"/>
      <c r="Z80" s="195"/>
      <c r="AA80" s="195"/>
      <c r="AB80" s="195"/>
      <c r="AC80" s="195"/>
      <c r="AD80" s="195"/>
      <c r="AE80" s="195"/>
      <c r="AF80" s="195"/>
      <c r="AG80" s="195"/>
      <c r="AH80" s="195"/>
      <c r="AI80" s="195"/>
      <c r="AJ80" s="35"/>
    </row>
    <row r="81" spans="1:36" s="36" customFormat="1" x14ac:dyDescent="0.2">
      <c r="A81" s="34"/>
      <c r="B81" s="125"/>
      <c r="C81" s="125"/>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35"/>
    </row>
    <row r="82" spans="1:36" s="36" customFormat="1" ht="27.75" x14ac:dyDescent="0.2">
      <c r="A82" s="34"/>
      <c r="B82" s="132" t="s">
        <v>578</v>
      </c>
      <c r="C82" s="132"/>
      <c r="D82" s="132"/>
      <c r="E82" s="132"/>
      <c r="F82" s="132"/>
      <c r="G82" s="132"/>
      <c r="H82" s="132"/>
      <c r="I82" s="132"/>
      <c r="J82" s="132"/>
      <c r="K82" s="132"/>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35"/>
    </row>
    <row r="83" spans="1:36" s="36" customFormat="1" x14ac:dyDescent="0.2">
      <c r="A83" s="34"/>
      <c r="B83" s="126" t="s">
        <v>717</v>
      </c>
      <c r="C83" s="126"/>
      <c r="D83" s="126"/>
      <c r="E83" s="126"/>
      <c r="F83" s="126"/>
      <c r="G83" s="126"/>
      <c r="H83" s="126"/>
      <c r="I83" s="126"/>
      <c r="J83" s="126"/>
      <c r="K83" s="126"/>
      <c r="L83" s="125" t="s">
        <v>716</v>
      </c>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35"/>
    </row>
    <row r="84" spans="1:36" s="36" customFormat="1" x14ac:dyDescent="0.2">
      <c r="A84" s="34"/>
      <c r="B84" s="125" t="s">
        <v>618</v>
      </c>
      <c r="C84" s="125"/>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35"/>
    </row>
    <row r="85" spans="1:36" s="36" customFormat="1" x14ac:dyDescent="0.2">
      <c r="A85" s="34"/>
      <c r="B85" s="125" t="s">
        <v>724</v>
      </c>
      <c r="C85" s="125"/>
      <c r="D85" s="125"/>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2"/>
    </row>
    <row r="86" spans="1:36" s="36" customFormat="1" x14ac:dyDescent="0.2">
      <c r="A86" s="34"/>
      <c r="B86" s="125" t="s">
        <v>584</v>
      </c>
      <c r="C86" s="125"/>
      <c r="D86" s="125"/>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35"/>
    </row>
    <row r="87" spans="1:36" s="36" customFormat="1" x14ac:dyDescent="0.2">
      <c r="A87" s="34"/>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35"/>
      <c r="AH87" s="35"/>
      <c r="AI87" s="35"/>
      <c r="AJ87" s="35"/>
    </row>
    <row r="88" spans="1:36" s="36" customFormat="1" ht="27.75" x14ac:dyDescent="0.2">
      <c r="A88" s="34"/>
      <c r="B88" s="132" t="s">
        <v>585</v>
      </c>
      <c r="C88" s="132"/>
      <c r="D88" s="132"/>
      <c r="E88" s="132"/>
      <c r="F88" s="132"/>
      <c r="G88" s="132"/>
      <c r="H88" s="132"/>
      <c r="I88" s="132"/>
      <c r="J88" s="132"/>
      <c r="K88" s="132"/>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35"/>
    </row>
    <row r="89" spans="1:36" s="36" customFormat="1" x14ac:dyDescent="0.2">
      <c r="A89" s="34"/>
      <c r="B89" s="125" t="s">
        <v>720</v>
      </c>
      <c r="C89" s="125"/>
      <c r="D89" s="125"/>
      <c r="E89" s="125"/>
      <c r="F89" s="125"/>
      <c r="G89" s="125"/>
      <c r="H89" s="125"/>
      <c r="I89" s="125"/>
      <c r="J89" s="125"/>
      <c r="K89" s="125"/>
      <c r="L89" s="125"/>
      <c r="M89" s="125"/>
      <c r="N89" s="125"/>
      <c r="O89" s="125"/>
      <c r="P89" s="197" t="s">
        <v>700</v>
      </c>
      <c r="Q89" s="197"/>
      <c r="R89" s="197"/>
      <c r="S89" s="197"/>
      <c r="T89" s="197"/>
      <c r="U89" s="197"/>
      <c r="V89" s="197"/>
      <c r="W89" s="197"/>
      <c r="X89" s="197"/>
      <c r="Y89" s="197"/>
      <c r="Z89" s="197"/>
      <c r="AA89" s="125"/>
      <c r="AB89" s="125"/>
      <c r="AC89" s="125"/>
      <c r="AD89" s="125"/>
      <c r="AE89" s="125"/>
      <c r="AF89" s="125"/>
      <c r="AG89" s="125"/>
      <c r="AH89" s="125"/>
      <c r="AI89" s="125"/>
      <c r="AJ89" s="81"/>
    </row>
    <row r="90" spans="1:36" s="36" customFormat="1" x14ac:dyDescent="0.2">
      <c r="A90" s="34"/>
      <c r="B90" s="126" t="s">
        <v>719</v>
      </c>
      <c r="C90" s="126"/>
      <c r="D90" s="126"/>
      <c r="E90" s="126"/>
      <c r="F90" s="126"/>
      <c r="G90" s="126"/>
      <c r="H90" s="126"/>
      <c r="I90" s="126"/>
      <c r="J90" s="126"/>
      <c r="K90" s="126"/>
      <c r="L90" s="125" t="s">
        <v>590</v>
      </c>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81"/>
    </row>
    <row r="91" spans="1:36" s="36" customFormat="1" x14ac:dyDescent="0.2">
      <c r="A91" s="34"/>
      <c r="B91" s="126" t="s">
        <v>718</v>
      </c>
      <c r="C91" s="126"/>
      <c r="D91" s="126"/>
      <c r="E91" s="126"/>
      <c r="F91" s="126"/>
      <c r="G91" s="126"/>
      <c r="H91" s="126"/>
      <c r="I91" s="126"/>
      <c r="J91" s="126"/>
      <c r="K91" s="126"/>
      <c r="L91" s="126"/>
      <c r="M91" s="125" t="s">
        <v>591</v>
      </c>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81"/>
    </row>
    <row r="92" spans="1:36" s="36" customFormat="1" x14ac:dyDescent="0.2">
      <c r="A92" s="34"/>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81"/>
    </row>
    <row r="93" spans="1:36" s="36" customFormat="1" x14ac:dyDescent="0.2">
      <c r="A93" s="34"/>
      <c r="B93" s="125" t="s">
        <v>721</v>
      </c>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81"/>
    </row>
    <row r="94" spans="1:36" s="36" customFormat="1" x14ac:dyDescent="0.2">
      <c r="A94" s="34"/>
      <c r="B94" s="125" t="s">
        <v>619</v>
      </c>
      <c r="C94" s="125"/>
      <c r="D94" s="125"/>
      <c r="E94" s="125"/>
      <c r="F94" s="125"/>
      <c r="G94" s="125"/>
      <c r="H94" s="125"/>
      <c r="I94" s="125"/>
      <c r="J94" s="125"/>
      <c r="K94" s="125"/>
      <c r="L94" s="125"/>
      <c r="M94" s="125"/>
      <c r="N94" s="125"/>
      <c r="O94" s="125"/>
      <c r="P94" s="125"/>
      <c r="Q94" s="125"/>
      <c r="R94" s="125"/>
      <c r="S94" s="125"/>
      <c r="T94" s="125"/>
      <c r="U94" s="125"/>
      <c r="V94" s="125"/>
      <c r="W94" s="125"/>
      <c r="X94" s="126" t="s">
        <v>600</v>
      </c>
      <c r="Y94" s="126"/>
      <c r="Z94" s="126"/>
      <c r="AA94" s="126"/>
      <c r="AB94" s="126"/>
      <c r="AC94" s="126"/>
      <c r="AD94" s="126"/>
      <c r="AE94" s="126"/>
      <c r="AF94" s="126"/>
      <c r="AG94" s="126"/>
      <c r="AH94" s="126"/>
      <c r="AI94" s="126"/>
      <c r="AJ94" s="81"/>
    </row>
    <row r="95" spans="1:36" s="36" customFormat="1" x14ac:dyDescent="0.2">
      <c r="A95" s="34"/>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row>
    <row r="96" spans="1:36" s="36" customFormat="1" ht="27.75" x14ac:dyDescent="0.2">
      <c r="A96" s="34"/>
      <c r="B96" s="132" t="s">
        <v>604</v>
      </c>
      <c r="C96" s="132"/>
      <c r="D96" s="132"/>
      <c r="E96" s="132"/>
      <c r="F96" s="132"/>
      <c r="G96" s="132"/>
      <c r="H96" s="132"/>
      <c r="I96" s="132"/>
      <c r="J96" s="132"/>
      <c r="K96" s="132"/>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35"/>
    </row>
    <row r="97" spans="1:36" s="36" customFormat="1" x14ac:dyDescent="0.2">
      <c r="A97" s="34"/>
      <c r="B97" s="125" t="s">
        <v>605</v>
      </c>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35"/>
    </row>
    <row r="98" spans="1:36" s="36" customFormat="1" x14ac:dyDescent="0.2">
      <c r="A98" s="34"/>
      <c r="B98" s="125" t="s">
        <v>614</v>
      </c>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81"/>
    </row>
    <row r="99" spans="1:36" s="36" customFormat="1" x14ac:dyDescent="0.2">
      <c r="A99" s="34"/>
      <c r="B99" s="125" t="s">
        <v>606</v>
      </c>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35"/>
    </row>
    <row r="100" spans="1:36" s="36" customFormat="1" x14ac:dyDescent="0.2">
      <c r="A100" s="34"/>
      <c r="B100" s="125" t="s">
        <v>610</v>
      </c>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35"/>
    </row>
    <row r="101" spans="1:36" s="36" customFormat="1" x14ac:dyDescent="0.2">
      <c r="A101" s="34"/>
      <c r="B101" s="125" t="s">
        <v>709</v>
      </c>
      <c r="C101" s="125"/>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35"/>
    </row>
    <row r="102" spans="1:36" s="36" customFormat="1" x14ac:dyDescent="0.2">
      <c r="A102" s="34"/>
      <c r="B102" s="125"/>
      <c r="C102" s="125"/>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81"/>
    </row>
    <row r="103" spans="1:36" s="36" customFormat="1" x14ac:dyDescent="0.2">
      <c r="A103" s="34"/>
      <c r="B103" s="125" t="s">
        <v>727</v>
      </c>
      <c r="C103" s="125"/>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17"/>
    </row>
    <row r="104" spans="1:36" s="36" customFormat="1" x14ac:dyDescent="0.2">
      <c r="A104" s="34"/>
      <c r="B104" s="125" t="s">
        <v>726</v>
      </c>
      <c r="C104" s="125"/>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35"/>
    </row>
    <row r="105" spans="1:36" s="36" customFormat="1" x14ac:dyDescent="0.2">
      <c r="A105" s="34"/>
      <c r="B105" s="124" t="s">
        <v>728</v>
      </c>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c r="AC105" s="124"/>
      <c r="AD105" s="124"/>
      <c r="AE105" s="124"/>
      <c r="AF105" s="124"/>
      <c r="AG105" s="124"/>
      <c r="AH105" s="124"/>
      <c r="AI105" s="124"/>
      <c r="AJ105" s="123"/>
    </row>
    <row r="106" spans="1:36" s="36" customFormat="1" x14ac:dyDescent="0.2">
      <c r="A106" s="34"/>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row>
    <row r="107" spans="1:36" s="36" customFormat="1" x14ac:dyDescent="0.2">
      <c r="A107" s="41"/>
    </row>
    <row r="108" spans="1:36" s="36" customFormat="1" x14ac:dyDescent="0.2">
      <c r="A108" s="41"/>
    </row>
    <row r="109" spans="1:36" s="36" customFormat="1" x14ac:dyDescent="0.2">
      <c r="A109" s="41"/>
    </row>
    <row r="110" spans="1:36" s="36" customFormat="1" x14ac:dyDescent="0.2">
      <c r="A110" s="41"/>
    </row>
    <row r="111" spans="1:36" s="36" customFormat="1" x14ac:dyDescent="0.2">
      <c r="A111" s="41"/>
    </row>
    <row r="112" spans="1:36" s="36" customFormat="1" x14ac:dyDescent="0.2">
      <c r="A112" s="41"/>
    </row>
    <row r="113" spans="1:1" s="36" customFormat="1" x14ac:dyDescent="0.2">
      <c r="A113" s="41"/>
    </row>
    <row r="114" spans="1:1" s="36" customFormat="1" x14ac:dyDescent="0.2">
      <c r="A114" s="41"/>
    </row>
    <row r="115" spans="1:1" s="36" customFormat="1" x14ac:dyDescent="0.2">
      <c r="A115" s="41"/>
    </row>
    <row r="116" spans="1:1" s="36" customFormat="1" x14ac:dyDescent="0.2">
      <c r="A116" s="41"/>
    </row>
    <row r="117" spans="1:1" s="36" customFormat="1" x14ac:dyDescent="0.2">
      <c r="A117" s="41"/>
    </row>
    <row r="118" spans="1:1" s="36" customFormat="1" x14ac:dyDescent="0.2">
      <c r="A118" s="41"/>
    </row>
    <row r="119" spans="1:1" s="36" customFormat="1" x14ac:dyDescent="0.2">
      <c r="A119" s="41"/>
    </row>
    <row r="120" spans="1:1" s="36" customFormat="1" x14ac:dyDescent="0.2">
      <c r="A120" s="41"/>
    </row>
    <row r="121" spans="1:1" s="36" customFormat="1" x14ac:dyDescent="0.2">
      <c r="A121" s="41"/>
    </row>
    <row r="122" spans="1:1" s="36" customFormat="1" x14ac:dyDescent="0.2">
      <c r="A122" s="41"/>
    </row>
    <row r="123" spans="1:1" s="36" customFormat="1" x14ac:dyDescent="0.2">
      <c r="A123" s="41"/>
    </row>
    <row r="124" spans="1:1" s="36" customFormat="1" x14ac:dyDescent="0.2">
      <c r="A124" s="41"/>
    </row>
    <row r="125" spans="1:1" s="36" customFormat="1" x14ac:dyDescent="0.2">
      <c r="A125" s="41"/>
    </row>
    <row r="126" spans="1:1" s="36" customFormat="1" x14ac:dyDescent="0.2">
      <c r="A126" s="41"/>
    </row>
    <row r="127" spans="1:1" s="36" customFormat="1" x14ac:dyDescent="0.2">
      <c r="A127" s="41"/>
    </row>
    <row r="128" spans="1:1" s="36" customFormat="1" x14ac:dyDescent="0.2">
      <c r="A128" s="41"/>
    </row>
    <row r="129" spans="1:36" s="36" customFormat="1" x14ac:dyDescent="0.2">
      <c r="A129" s="41"/>
    </row>
    <row r="130" spans="1:36" s="36" customFormat="1" x14ac:dyDescent="0.2">
      <c r="A130" s="41"/>
    </row>
    <row r="131" spans="1:36" s="36" customFormat="1" x14ac:dyDescent="0.2">
      <c r="A131" s="41"/>
    </row>
    <row r="132" spans="1:36" s="36" customFormat="1" x14ac:dyDescent="0.2">
      <c r="A132" s="41"/>
    </row>
    <row r="133" spans="1:36" x14ac:dyDescent="0.2">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2">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2">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row>
    <row r="140" spans="1:36" x14ac:dyDescent="0.2">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row>
  </sheetData>
  <sheetProtection algorithmName="SHA-512" hashValue="s+AztputaWRVNuvrbTiaU/ySJnxo//bRVIiKae6zNPySFXVf1Kt9H+6D6hqOPE9rVK/uUJgwbNb7hCFGZvwHMw==" saltValue="CNNm0+jpNgAMfT11Qjf/Pg==" spinCount="100000" sheet="1" objects="1" scenarios="1"/>
  <mergeCells count="642">
    <mergeCell ref="B101:C102"/>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F74:AG74"/>
    <mergeCell ref="AH74:AI74"/>
    <mergeCell ref="AB75:AC75"/>
    <mergeCell ref="AD75:AE75"/>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AF75:AG75"/>
    <mergeCell ref="AH75:AI75"/>
    <mergeCell ref="Z75:AA75"/>
    <mergeCell ref="AH76:AI76"/>
    <mergeCell ref="AF76:AG76"/>
    <mergeCell ref="Q75:R75"/>
    <mergeCell ref="S75:W75"/>
    <mergeCell ref="X75:Y75"/>
    <mergeCell ref="Q73:R73"/>
    <mergeCell ref="X73:Y73"/>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X50:Y50"/>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S48:W48"/>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B48:F48"/>
    <mergeCell ref="G48:H48"/>
    <mergeCell ref="I48:J48"/>
    <mergeCell ref="K48:L48"/>
    <mergeCell ref="M48:N48"/>
    <mergeCell ref="O48:P48"/>
    <mergeCell ref="M49:N49"/>
    <mergeCell ref="O49:P49"/>
    <mergeCell ref="Q48:R48"/>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B23:Q23"/>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X15:Y16"/>
    <mergeCell ref="Z15:AA16"/>
    <mergeCell ref="AB15:AC16"/>
    <mergeCell ref="AD15:AE16"/>
    <mergeCell ref="F16:G16"/>
    <mergeCell ref="F17:G17"/>
    <mergeCell ref="R16:S16"/>
    <mergeCell ref="J17:K18"/>
    <mergeCell ref="R17:S17"/>
    <mergeCell ref="H17:I18"/>
    <mergeCell ref="H15:I16"/>
    <mergeCell ref="J15:K16"/>
    <mergeCell ref="L15:M15"/>
    <mergeCell ref="N15:O16"/>
    <mergeCell ref="P15:Q16"/>
    <mergeCell ref="F15:G15"/>
    <mergeCell ref="F18:G18"/>
    <mergeCell ref="AB17:AC18"/>
    <mergeCell ref="B104:AI104"/>
    <mergeCell ref="B11:K11"/>
    <mergeCell ref="B91:L91"/>
    <mergeCell ref="B38:D39"/>
    <mergeCell ref="E38:F39"/>
    <mergeCell ref="J38:R39"/>
    <mergeCell ref="S73:W73"/>
    <mergeCell ref="B90:K90"/>
    <mergeCell ref="B42:AI43"/>
    <mergeCell ref="B47:F47"/>
    <mergeCell ref="G47:H47"/>
    <mergeCell ref="X12:AI13"/>
    <mergeCell ref="B36:K36"/>
    <mergeCell ref="B41:K41"/>
    <mergeCell ref="B82:K82"/>
    <mergeCell ref="B88:K88"/>
    <mergeCell ref="B96:K96"/>
    <mergeCell ref="B94:W94"/>
    <mergeCell ref="B83:K83"/>
    <mergeCell ref="B17:C18"/>
    <mergeCell ref="D17:E18"/>
    <mergeCell ref="R15:S15"/>
    <mergeCell ref="L16:M16"/>
    <mergeCell ref="X14:AI14"/>
    <mergeCell ref="L82:AI82"/>
    <mergeCell ref="L88:AI88"/>
    <mergeCell ref="L96:AI96"/>
    <mergeCell ref="B97:AI97"/>
    <mergeCell ref="B98:AI98"/>
    <mergeCell ref="B40:AI40"/>
    <mergeCell ref="B44:AI44"/>
    <mergeCell ref="B45:AI45"/>
    <mergeCell ref="B81:AI81"/>
    <mergeCell ref="B80:N80"/>
    <mergeCell ref="O80:V80"/>
    <mergeCell ref="W80:AI80"/>
    <mergeCell ref="B89:O89"/>
    <mergeCell ref="P89:Z89"/>
    <mergeCell ref="AA89:AI89"/>
    <mergeCell ref="L90:AI90"/>
    <mergeCell ref="M91:AI91"/>
    <mergeCell ref="B92:AI92"/>
    <mergeCell ref="B93:AI93"/>
    <mergeCell ref="X48:Y48"/>
    <mergeCell ref="AD49:AE49"/>
    <mergeCell ref="AF49:AG49"/>
    <mergeCell ref="AD51:AE51"/>
    <mergeCell ref="AF51:AG51"/>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R23:Z23"/>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B105:AI105"/>
    <mergeCell ref="B85:AI85"/>
    <mergeCell ref="X94:AI94"/>
    <mergeCell ref="D101:AI102"/>
    <mergeCell ref="B1:AI1"/>
    <mergeCell ref="B35:F35"/>
    <mergeCell ref="J35:AI35"/>
    <mergeCell ref="B99:AI99"/>
    <mergeCell ref="B100:AI100"/>
    <mergeCell ref="B103:AI103"/>
    <mergeCell ref="L83:AI83"/>
    <mergeCell ref="B84:AI84"/>
    <mergeCell ref="B86:AI86"/>
    <mergeCell ref="B3:AI3"/>
    <mergeCell ref="B5:AI5"/>
    <mergeCell ref="B6:AI6"/>
    <mergeCell ref="B7:AI7"/>
    <mergeCell ref="I9:AI9"/>
    <mergeCell ref="I8:AI8"/>
    <mergeCell ref="B10:AI10"/>
    <mergeCell ref="B12:W12"/>
    <mergeCell ref="B13:W13"/>
    <mergeCell ref="B21:AI21"/>
    <mergeCell ref="B22:AI22"/>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prompt="包括了各种形式的火器，也包括了弓箭和弩。" sqref="B69:C71" xr:uid="{42CA1279-1F7A-42E5-915A-3F4B5D086E25}"/>
    <dataValidation allowBlank="1" showInputMessage="1" showErrorMessage="1" promptTitle="Fighting (不定)"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90" location="Assets" display="然后，转到“人物卡”标签的“资产”部分" xr:uid="{AD588D31-2CC8-4B5D-A63B-F3599C807BEF}"/>
    <hyperlink ref="B91" location="Gear" display="转到“人物卡”标签的“装备和道具”部分" xr:uid="{9DE9539D-E992-47A0-A869-9A32080A5ADA}"/>
    <hyperlink ref="X94:AF94"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9:Z89"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123825</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123825</xdr:colOff>
                    <xdr:row>17</xdr:row>
                    <xdr:rowOff>9525</xdr:rowOff>
                  </from>
                  <to>
                    <xdr:col>22</xdr:col>
                    <xdr:colOff>152400</xdr:colOff>
                    <xdr:row>19</xdr:row>
                    <xdr:rowOff>9525</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100</xdr:row>
                    <xdr:rowOff>66675</xdr:rowOff>
                  </from>
                  <to>
                    <xdr:col>11</xdr:col>
                    <xdr:colOff>57150</xdr:colOff>
                    <xdr:row>101</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47625</xdr:rowOff>
                  </from>
                  <to>
                    <xdr:col>9</xdr:col>
                    <xdr:colOff>66675</xdr:colOff>
                    <xdr:row>33</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zoomScaleNormal="100" workbookViewId="0">
      <selection activeCell="D3" sqref="D3:N3"/>
    </sheetView>
  </sheetViews>
  <sheetFormatPr defaultColWidth="3.25" defaultRowHeight="16.5" x14ac:dyDescent="0.2"/>
  <cols>
    <col min="1" max="46" width="3.25" style="38"/>
    <col min="47" max="47" width="3.5" style="38" bestFit="1" customWidth="1"/>
    <col min="48" max="16384" width="3.25" style="38"/>
  </cols>
  <sheetData>
    <row r="1" spans="1:43" ht="17.25" thickBot="1" x14ac:dyDescent="0.25">
      <c r="N1" s="42"/>
      <c r="O1" s="42"/>
      <c r="P1" s="43"/>
      <c r="Q1" s="43"/>
      <c r="R1" s="43"/>
      <c r="S1" s="43"/>
      <c r="T1" s="43"/>
      <c r="U1" s="43"/>
      <c r="V1" s="43"/>
      <c r="W1" s="43"/>
      <c r="X1" s="43"/>
      <c r="Y1" s="43"/>
      <c r="Z1" s="43"/>
      <c r="AA1" s="43"/>
      <c r="AB1" s="43"/>
      <c r="AC1" s="43"/>
      <c r="AD1" s="43"/>
      <c r="AE1" s="43"/>
      <c r="AF1" s="42"/>
      <c r="AG1" s="42"/>
    </row>
    <row r="2" spans="1:43" x14ac:dyDescent="0.2">
      <c r="B2" s="219" t="str">
        <f>建卡!E8&amp;"  调查员信息"</f>
        <v>1920s  调查员信息</v>
      </c>
      <c r="C2" s="220"/>
      <c r="D2" s="220"/>
      <c r="E2" s="220"/>
      <c r="F2" s="220"/>
      <c r="G2" s="220"/>
      <c r="H2" s="220"/>
      <c r="I2" s="220"/>
      <c r="J2" s="220"/>
      <c r="K2" s="220"/>
      <c r="L2" s="220"/>
      <c r="M2" s="220"/>
      <c r="N2" s="221"/>
      <c r="P2" s="153" t="s">
        <v>287</v>
      </c>
      <c r="Q2" s="154"/>
      <c r="R2" s="154"/>
      <c r="S2" s="154"/>
      <c r="T2" s="154"/>
      <c r="U2" s="154"/>
      <c r="V2" s="154"/>
      <c r="W2" s="154"/>
      <c r="X2" s="154"/>
      <c r="Y2" s="154"/>
      <c r="Z2" s="154"/>
      <c r="AA2" s="154"/>
      <c r="AB2" s="154"/>
      <c r="AC2" s="154"/>
      <c r="AD2" s="154"/>
      <c r="AE2" s="154"/>
      <c r="AF2" s="154"/>
      <c r="AG2" s="155"/>
      <c r="AI2" s="525" t="s">
        <v>6</v>
      </c>
      <c r="AJ2" s="526"/>
      <c r="AK2" s="526"/>
      <c r="AL2" s="526"/>
      <c r="AM2" s="526"/>
      <c r="AN2" s="526"/>
      <c r="AO2" s="526"/>
      <c r="AP2" s="526"/>
      <c r="AQ2" s="527"/>
    </row>
    <row r="3" spans="1:43" x14ac:dyDescent="0.2">
      <c r="B3" s="139" t="s">
        <v>0</v>
      </c>
      <c r="C3" s="140"/>
      <c r="D3" s="487" t="str">
        <f>IF(ISBLANK(建卡!D25)," ",建卡!D25)</f>
        <v xml:space="preserve"> </v>
      </c>
      <c r="E3" s="488"/>
      <c r="F3" s="488"/>
      <c r="G3" s="488"/>
      <c r="H3" s="488"/>
      <c r="I3" s="488"/>
      <c r="J3" s="488"/>
      <c r="K3" s="488"/>
      <c r="L3" s="488"/>
      <c r="M3" s="488"/>
      <c r="N3" s="489"/>
      <c r="P3" s="156" t="s">
        <v>346</v>
      </c>
      <c r="Q3" s="157"/>
      <c r="R3" s="158">
        <f>建卡!D15</f>
        <v>0</v>
      </c>
      <c r="S3" s="158"/>
      <c r="T3" s="216">
        <f>INT(R3/2)</f>
        <v>0</v>
      </c>
      <c r="U3" s="216"/>
      <c r="V3" s="214" t="s">
        <v>348</v>
      </c>
      <c r="W3" s="214"/>
      <c r="X3" s="434">
        <f>建卡!J15</f>
        <v>0</v>
      </c>
      <c r="Y3" s="435"/>
      <c r="Z3" s="218">
        <f>INT(X3/2)</f>
        <v>0</v>
      </c>
      <c r="AA3" s="218"/>
      <c r="AB3" s="159" t="s">
        <v>593</v>
      </c>
      <c r="AC3" s="157"/>
      <c r="AD3" s="430">
        <f>建卡!P15</f>
        <v>0</v>
      </c>
      <c r="AE3" s="431"/>
      <c r="AF3" s="216">
        <f>INT(AD3/2)</f>
        <v>0</v>
      </c>
      <c r="AG3" s="217"/>
      <c r="AI3" s="528"/>
      <c r="AJ3" s="529"/>
      <c r="AK3" s="529"/>
      <c r="AL3" s="529"/>
      <c r="AM3" s="529"/>
      <c r="AN3" s="529"/>
      <c r="AO3" s="529"/>
      <c r="AP3" s="529"/>
      <c r="AQ3" s="530"/>
    </row>
    <row r="4" spans="1:43" x14ac:dyDescent="0.2">
      <c r="B4" s="183" t="s">
        <v>1</v>
      </c>
      <c r="C4" s="184"/>
      <c r="D4" s="265" t="str">
        <f>IF(ISBLANK(建卡!D26)," ",建卡!D26)</f>
        <v xml:space="preserve"> </v>
      </c>
      <c r="E4" s="137"/>
      <c r="F4" s="137"/>
      <c r="G4" s="137"/>
      <c r="H4" s="137"/>
      <c r="I4" s="137"/>
      <c r="J4" s="137"/>
      <c r="K4" s="137"/>
      <c r="L4" s="137"/>
      <c r="M4" s="137"/>
      <c r="N4" s="138"/>
      <c r="P4" s="156"/>
      <c r="Q4" s="157"/>
      <c r="R4" s="158"/>
      <c r="S4" s="158"/>
      <c r="T4" s="234">
        <f>INT(R3/5)</f>
        <v>0</v>
      </c>
      <c r="U4" s="234"/>
      <c r="V4" s="214"/>
      <c r="W4" s="214"/>
      <c r="X4" s="438"/>
      <c r="Y4" s="439"/>
      <c r="Z4" s="218">
        <f>INT(X3/5)</f>
        <v>0</v>
      </c>
      <c r="AA4" s="218"/>
      <c r="AB4" s="157"/>
      <c r="AC4" s="157"/>
      <c r="AD4" s="432"/>
      <c r="AE4" s="433"/>
      <c r="AF4" s="216">
        <f>INT(AD3/5)</f>
        <v>0</v>
      </c>
      <c r="AG4" s="217"/>
      <c r="AI4" s="528"/>
      <c r="AJ4" s="529"/>
      <c r="AK4" s="529"/>
      <c r="AL4" s="529"/>
      <c r="AM4" s="529"/>
      <c r="AN4" s="529"/>
      <c r="AO4" s="529"/>
      <c r="AP4" s="529"/>
      <c r="AQ4" s="530"/>
    </row>
    <row r="5" spans="1:43" x14ac:dyDescent="0.2">
      <c r="B5" s="139" t="s">
        <v>2</v>
      </c>
      <c r="C5" s="140"/>
      <c r="D5" s="487" t="str">
        <f>IF(ISBLANK(建卡!D27)," ",建卡!D27)</f>
        <v xml:space="preserve"> </v>
      </c>
      <c r="E5" s="488"/>
      <c r="F5" s="488"/>
      <c r="G5" s="488"/>
      <c r="H5" s="488"/>
      <c r="I5" s="488"/>
      <c r="J5" s="488"/>
      <c r="K5" s="488"/>
      <c r="L5" s="488"/>
      <c r="M5" s="488"/>
      <c r="N5" s="489"/>
      <c r="P5" s="213" t="s">
        <v>347</v>
      </c>
      <c r="Q5" s="214"/>
      <c r="R5" s="434">
        <f>建卡!D17</f>
        <v>0</v>
      </c>
      <c r="S5" s="435"/>
      <c r="T5" s="218">
        <f t="shared" ref="T5" si="0">INT(R5/2)</f>
        <v>0</v>
      </c>
      <c r="U5" s="218"/>
      <c r="V5" s="157" t="s">
        <v>425</v>
      </c>
      <c r="W5" s="157"/>
      <c r="X5" s="430">
        <f>建卡!J17</f>
        <v>0</v>
      </c>
      <c r="Y5" s="431"/>
      <c r="Z5" s="216">
        <f t="shared" ref="Z5" si="1">INT(X5/2)</f>
        <v>0</v>
      </c>
      <c r="AA5" s="216"/>
      <c r="AB5" s="214" t="s">
        <v>552</v>
      </c>
      <c r="AC5" s="214"/>
      <c r="AD5" s="434">
        <f>建卡!P17</f>
        <v>0</v>
      </c>
      <c r="AE5" s="435"/>
      <c r="AF5" s="218">
        <f>INT(AD5/2)</f>
        <v>0</v>
      </c>
      <c r="AG5" s="235"/>
      <c r="AI5" s="528"/>
      <c r="AJ5" s="529"/>
      <c r="AK5" s="529"/>
      <c r="AL5" s="529"/>
      <c r="AM5" s="529"/>
      <c r="AN5" s="529"/>
      <c r="AO5" s="529"/>
      <c r="AP5" s="529"/>
      <c r="AQ5" s="530"/>
    </row>
    <row r="6" spans="1:43" x14ac:dyDescent="0.2">
      <c r="B6" s="183" t="s">
        <v>3</v>
      </c>
      <c r="C6" s="184"/>
      <c r="D6" s="185" t="str">
        <f>IF(ISBLANK(建卡!D28)," ",建卡!D28)</f>
        <v xml:space="preserve"> </v>
      </c>
      <c r="E6" s="186"/>
      <c r="F6" s="186"/>
      <c r="G6" s="186"/>
      <c r="H6" s="187"/>
      <c r="I6" s="188" t="s">
        <v>4</v>
      </c>
      <c r="J6" s="184"/>
      <c r="K6" s="428" t="str">
        <f>IF(ISBLANK(建卡!K28)," ",建卡!K28)</f>
        <v xml:space="preserve"> </v>
      </c>
      <c r="L6" s="428"/>
      <c r="M6" s="428"/>
      <c r="N6" s="429"/>
      <c r="P6" s="213"/>
      <c r="Q6" s="214"/>
      <c r="R6" s="438"/>
      <c r="S6" s="439"/>
      <c r="T6" s="236">
        <f t="shared" ref="T6" si="2">INT(R5/5)</f>
        <v>0</v>
      </c>
      <c r="U6" s="236"/>
      <c r="V6" s="157"/>
      <c r="W6" s="157"/>
      <c r="X6" s="432"/>
      <c r="Y6" s="433"/>
      <c r="Z6" s="216">
        <f t="shared" ref="Z6" si="3">INT(X5/5)</f>
        <v>0</v>
      </c>
      <c r="AA6" s="216"/>
      <c r="AB6" s="214"/>
      <c r="AC6" s="214"/>
      <c r="AD6" s="438"/>
      <c r="AE6" s="439"/>
      <c r="AF6" s="218">
        <f>INT(AD5/5)</f>
        <v>0</v>
      </c>
      <c r="AG6" s="235"/>
      <c r="AI6" s="528"/>
      <c r="AJ6" s="529"/>
      <c r="AK6" s="529"/>
      <c r="AL6" s="529"/>
      <c r="AM6" s="529"/>
      <c r="AN6" s="529"/>
      <c r="AO6" s="529"/>
      <c r="AP6" s="529"/>
      <c r="AQ6" s="530"/>
    </row>
    <row r="7" spans="1:43" x14ac:dyDescent="0.2">
      <c r="B7" s="139" t="s">
        <v>288</v>
      </c>
      <c r="C7" s="140"/>
      <c r="D7" s="519" t="str">
        <f>IF(ISBLANK(建卡!D29)," ",建卡!D29)</f>
        <v xml:space="preserve"> </v>
      </c>
      <c r="E7" s="520"/>
      <c r="F7" s="520"/>
      <c r="G7" s="520"/>
      <c r="H7" s="520"/>
      <c r="I7" s="520"/>
      <c r="J7" s="520"/>
      <c r="K7" s="520"/>
      <c r="L7" s="520"/>
      <c r="M7" s="520"/>
      <c r="N7" s="521"/>
      <c r="P7" s="156" t="s">
        <v>5</v>
      </c>
      <c r="Q7" s="157"/>
      <c r="R7" s="430">
        <f>建卡!D19</f>
        <v>0</v>
      </c>
      <c r="S7" s="431"/>
      <c r="T7" s="216">
        <f t="shared" ref="T7" si="4">INT(R7/2)</f>
        <v>0</v>
      </c>
      <c r="U7" s="216"/>
      <c r="V7" s="261" t="s">
        <v>551</v>
      </c>
      <c r="W7" s="261"/>
      <c r="X7" s="434">
        <f>建卡!J19</f>
        <v>0</v>
      </c>
      <c r="Y7" s="435"/>
      <c r="Z7" s="218">
        <f t="shared" ref="Z7" si="5">INT(X7/2)</f>
        <v>0</v>
      </c>
      <c r="AA7" s="218"/>
      <c r="AB7" s="157" t="s">
        <v>549</v>
      </c>
      <c r="AC7" s="157"/>
      <c r="AD7" s="504" t="str">
        <f>建卡!X34</f>
        <v>错误</v>
      </c>
      <c r="AE7" s="504"/>
      <c r="AF7" s="454" t="s">
        <v>345</v>
      </c>
      <c r="AG7" s="455"/>
      <c r="AI7" s="528"/>
      <c r="AJ7" s="529"/>
      <c r="AK7" s="529"/>
      <c r="AL7" s="529"/>
      <c r="AM7" s="529"/>
      <c r="AN7" s="529"/>
      <c r="AO7" s="529"/>
      <c r="AP7" s="529"/>
      <c r="AQ7" s="530"/>
    </row>
    <row r="8" spans="1:43" ht="17.25" thickBot="1" x14ac:dyDescent="0.25">
      <c r="B8" s="144" t="s">
        <v>560</v>
      </c>
      <c r="C8" s="145"/>
      <c r="D8" s="522" t="str">
        <f>IF(ISBLANK(建卡!D30)," ",建卡!D30)</f>
        <v xml:space="preserve"> </v>
      </c>
      <c r="E8" s="523"/>
      <c r="F8" s="523"/>
      <c r="G8" s="523"/>
      <c r="H8" s="523"/>
      <c r="I8" s="523"/>
      <c r="J8" s="523"/>
      <c r="K8" s="523"/>
      <c r="L8" s="523"/>
      <c r="M8" s="523"/>
      <c r="N8" s="524"/>
      <c r="P8" s="151"/>
      <c r="Q8" s="152"/>
      <c r="R8" s="440"/>
      <c r="S8" s="441"/>
      <c r="T8" s="264">
        <f t="shared" ref="T8" si="6">INT(R7/5)</f>
        <v>0</v>
      </c>
      <c r="U8" s="264"/>
      <c r="V8" s="262"/>
      <c r="W8" s="262"/>
      <c r="X8" s="436"/>
      <c r="Y8" s="437"/>
      <c r="Z8" s="250">
        <f t="shared" ref="Z8" si="7">INT(X7/5)</f>
        <v>0</v>
      </c>
      <c r="AA8" s="250"/>
      <c r="AB8" s="152"/>
      <c r="AC8" s="152"/>
      <c r="AD8" s="505"/>
      <c r="AE8" s="505"/>
      <c r="AF8" s="459">
        <v>0</v>
      </c>
      <c r="AG8" s="460"/>
      <c r="AI8" s="528"/>
      <c r="AJ8" s="529"/>
      <c r="AK8" s="529"/>
      <c r="AL8" s="529"/>
      <c r="AM8" s="529"/>
      <c r="AN8" s="529"/>
      <c r="AO8" s="529"/>
      <c r="AP8" s="529"/>
      <c r="AQ8" s="530"/>
    </row>
    <row r="9" spans="1:43" ht="17.25" thickBot="1" x14ac:dyDescent="0.25">
      <c r="A9" s="44"/>
      <c r="B9" s="44"/>
      <c r="C9" s="44"/>
      <c r="D9" s="44"/>
      <c r="E9" s="44"/>
      <c r="AI9" s="528"/>
      <c r="AJ9" s="529"/>
      <c r="AK9" s="529"/>
      <c r="AL9" s="529"/>
      <c r="AM9" s="529"/>
      <c r="AN9" s="529"/>
      <c r="AO9" s="529"/>
      <c r="AP9" s="529"/>
      <c r="AQ9" s="530"/>
    </row>
    <row r="10" spans="1:43" x14ac:dyDescent="0.2">
      <c r="B10" s="246" t="s">
        <v>611</v>
      </c>
      <c r="C10" s="134"/>
      <c r="D10" s="481"/>
      <c r="E10" s="506">
        <f>建卡!AA34</f>
        <v>0</v>
      </c>
      <c r="F10" s="506"/>
      <c r="G10" s="506"/>
      <c r="H10" s="508">
        <f>建卡!AA34</f>
        <v>0</v>
      </c>
      <c r="I10" s="508"/>
      <c r="J10" s="509"/>
      <c r="K10" s="498" t="s">
        <v>613</v>
      </c>
      <c r="L10" s="499"/>
      <c r="M10" s="500"/>
      <c r="N10" s="493">
        <f>建卡!AD34</f>
        <v>0</v>
      </c>
      <c r="O10" s="472"/>
      <c r="P10" s="472"/>
      <c r="Q10" s="475">
        <f>99-SUM(H27:K27)</f>
        <v>99</v>
      </c>
      <c r="R10" s="475"/>
      <c r="S10" s="495"/>
      <c r="T10" s="247" t="s">
        <v>571</v>
      </c>
      <c r="U10" s="134"/>
      <c r="V10" s="481"/>
      <c r="W10" s="506">
        <f>建卡!D33</f>
        <v>0</v>
      </c>
      <c r="X10" s="506"/>
      <c r="Y10" s="508">
        <v>99</v>
      </c>
      <c r="Z10" s="509"/>
      <c r="AA10" s="498" t="s">
        <v>612</v>
      </c>
      <c r="AB10" s="499"/>
      <c r="AC10" s="500"/>
      <c r="AD10" s="472">
        <f>建卡!AG34</f>
        <v>0</v>
      </c>
      <c r="AE10" s="472"/>
      <c r="AF10" s="475">
        <f>建卡!AG34</f>
        <v>0</v>
      </c>
      <c r="AG10" s="476"/>
      <c r="AI10" s="528"/>
      <c r="AJ10" s="529"/>
      <c r="AK10" s="529"/>
      <c r="AL10" s="529"/>
      <c r="AM10" s="529"/>
      <c r="AN10" s="529"/>
      <c r="AO10" s="529"/>
      <c r="AP10" s="529"/>
      <c r="AQ10" s="530"/>
    </row>
    <row r="11" spans="1:43" x14ac:dyDescent="0.2">
      <c r="B11" s="503"/>
      <c r="C11" s="482"/>
      <c r="D11" s="483"/>
      <c r="E11" s="507"/>
      <c r="F11" s="507"/>
      <c r="G11" s="507"/>
      <c r="H11" s="510"/>
      <c r="I11" s="510"/>
      <c r="J11" s="511"/>
      <c r="K11" s="501"/>
      <c r="L11" s="501"/>
      <c r="M11" s="502"/>
      <c r="N11" s="494"/>
      <c r="O11" s="494"/>
      <c r="P11" s="494"/>
      <c r="Q11" s="496"/>
      <c r="R11" s="496"/>
      <c r="S11" s="497"/>
      <c r="T11" s="482"/>
      <c r="U11" s="482"/>
      <c r="V11" s="483"/>
      <c r="W11" s="512"/>
      <c r="X11" s="512"/>
      <c r="Y11" s="514"/>
      <c r="Z11" s="515"/>
      <c r="AA11" s="501"/>
      <c r="AB11" s="501"/>
      <c r="AC11" s="502"/>
      <c r="AD11" s="473"/>
      <c r="AE11" s="473"/>
      <c r="AF11" s="477"/>
      <c r="AG11" s="478"/>
      <c r="AI11" s="528"/>
      <c r="AJ11" s="529"/>
      <c r="AK11" s="529"/>
      <c r="AL11" s="529"/>
      <c r="AM11" s="529"/>
      <c r="AN11" s="529"/>
      <c r="AO11" s="529"/>
      <c r="AP11" s="529"/>
      <c r="AQ11" s="530"/>
    </row>
    <row r="12" spans="1:43" ht="17.25" thickBot="1" x14ac:dyDescent="0.25">
      <c r="B12" s="135"/>
      <c r="C12" s="136"/>
      <c r="D12" s="257"/>
      <c r="E12" s="31" t="s">
        <v>420</v>
      </c>
      <c r="F12" s="352" t="s">
        <v>48</v>
      </c>
      <c r="G12" s="352"/>
      <c r="H12" s="31" t="s">
        <v>547</v>
      </c>
      <c r="I12" s="352" t="s">
        <v>50</v>
      </c>
      <c r="J12" s="490"/>
      <c r="K12" s="253"/>
      <c r="L12" s="253"/>
      <c r="M12" s="171"/>
      <c r="N12" s="58" t="s">
        <v>547</v>
      </c>
      <c r="O12" s="491" t="s">
        <v>545</v>
      </c>
      <c r="P12" s="491"/>
      <c r="Q12" s="58" t="s">
        <v>547</v>
      </c>
      <c r="R12" s="491" t="s">
        <v>546</v>
      </c>
      <c r="S12" s="492"/>
      <c r="T12" s="136"/>
      <c r="U12" s="136"/>
      <c r="V12" s="257"/>
      <c r="W12" s="513"/>
      <c r="X12" s="513"/>
      <c r="Y12" s="516"/>
      <c r="Z12" s="517"/>
      <c r="AA12" s="253"/>
      <c r="AB12" s="253"/>
      <c r="AC12" s="171"/>
      <c r="AD12" s="474"/>
      <c r="AE12" s="474"/>
      <c r="AF12" s="479"/>
      <c r="AG12" s="480"/>
      <c r="AI12" s="531"/>
      <c r="AJ12" s="532"/>
      <c r="AK12" s="532"/>
      <c r="AL12" s="532"/>
      <c r="AM12" s="532"/>
      <c r="AN12" s="532"/>
      <c r="AO12" s="532"/>
      <c r="AP12" s="532"/>
      <c r="AQ12" s="533"/>
    </row>
    <row r="13" spans="1:43" ht="17.25"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
      <c r="B14" s="484" t="s">
        <v>13</v>
      </c>
      <c r="C14" s="485"/>
      <c r="D14" s="485"/>
      <c r="E14" s="485"/>
      <c r="F14" s="485"/>
      <c r="G14" s="485"/>
      <c r="H14" s="485"/>
      <c r="I14" s="485"/>
      <c r="J14" s="485"/>
      <c r="K14" s="485"/>
      <c r="L14" s="485"/>
      <c r="M14" s="485"/>
      <c r="N14" s="485"/>
      <c r="O14" s="485"/>
      <c r="P14" s="485"/>
      <c r="Q14" s="485"/>
      <c r="R14" s="485"/>
      <c r="S14" s="485"/>
      <c r="T14" s="485"/>
      <c r="U14" s="485"/>
      <c r="V14" s="485"/>
      <c r="W14" s="485"/>
      <c r="X14" s="485"/>
      <c r="Y14" s="485"/>
      <c r="Z14" s="485"/>
      <c r="AA14" s="485"/>
      <c r="AB14" s="485"/>
      <c r="AC14" s="485"/>
      <c r="AD14" s="485"/>
      <c r="AE14" s="485"/>
      <c r="AF14" s="485"/>
      <c r="AG14" s="485"/>
      <c r="AH14" s="485"/>
      <c r="AI14" s="485"/>
      <c r="AJ14" s="485"/>
      <c r="AK14" s="485"/>
      <c r="AL14" s="485"/>
      <c r="AM14" s="485"/>
      <c r="AN14" s="485"/>
      <c r="AO14" s="485"/>
      <c r="AP14" s="485"/>
      <c r="AQ14" s="486"/>
    </row>
    <row r="15" spans="1:43" x14ac:dyDescent="0.2">
      <c r="B15" s="49"/>
      <c r="C15" s="370" t="s">
        <v>360</v>
      </c>
      <c r="D15" s="370"/>
      <c r="E15" s="370"/>
      <c r="F15" s="370"/>
      <c r="G15" s="370"/>
      <c r="H15" s="370" t="s">
        <v>588</v>
      </c>
      <c r="I15" s="370"/>
      <c r="J15" s="370" t="s">
        <v>550</v>
      </c>
      <c r="K15" s="370"/>
      <c r="L15" s="370" t="s">
        <v>9</v>
      </c>
      <c r="M15" s="370"/>
      <c r="N15" s="370"/>
      <c r="O15" s="518"/>
      <c r="P15" s="50"/>
      <c r="Q15" s="370" t="s">
        <v>360</v>
      </c>
      <c r="R15" s="370"/>
      <c r="S15" s="370"/>
      <c r="T15" s="370"/>
      <c r="U15" s="370"/>
      <c r="V15" s="370" t="s">
        <v>588</v>
      </c>
      <c r="W15" s="370"/>
      <c r="X15" s="370" t="s">
        <v>550</v>
      </c>
      <c r="Y15" s="370"/>
      <c r="Z15" s="370" t="s">
        <v>9</v>
      </c>
      <c r="AA15" s="370"/>
      <c r="AB15" s="370"/>
      <c r="AC15" s="518"/>
      <c r="AD15" s="50"/>
      <c r="AE15" s="370" t="s">
        <v>360</v>
      </c>
      <c r="AF15" s="370"/>
      <c r="AG15" s="370"/>
      <c r="AH15" s="370"/>
      <c r="AI15" s="370"/>
      <c r="AJ15" s="370" t="s">
        <v>588</v>
      </c>
      <c r="AK15" s="370"/>
      <c r="AL15" s="370" t="s">
        <v>550</v>
      </c>
      <c r="AM15" s="370"/>
      <c r="AN15" s="370" t="s">
        <v>9</v>
      </c>
      <c r="AO15" s="370"/>
      <c r="AP15" s="370"/>
      <c r="AQ15" s="371"/>
    </row>
    <row r="16" spans="1:43" x14ac:dyDescent="0.2">
      <c r="B16" s="32" t="s">
        <v>420</v>
      </c>
      <c r="C16" s="366" t="str">
        <f>IF(ISBLANK(建卡!D48),建卡!B48,建卡!B48&amp;建卡!D48)</f>
        <v>会计</v>
      </c>
      <c r="D16" s="366"/>
      <c r="E16" s="366"/>
      <c r="F16" s="366"/>
      <c r="G16" s="366"/>
      <c r="H16" s="367">
        <f>建卡!M48</f>
        <v>5</v>
      </c>
      <c r="I16" s="367"/>
      <c r="J16" s="367"/>
      <c r="K16" s="367"/>
      <c r="L16" s="267" t="str">
        <f>SUM(H16:K16)&amp;"% ("&amp;INT(SUM(H16:K16)/2)&amp;"/"&amp;INT(SUM(H16:K16)/5)&amp;")"</f>
        <v>5% (2/1)</v>
      </c>
      <c r="M16" s="267"/>
      <c r="N16" s="267"/>
      <c r="O16" s="368"/>
      <c r="P16" s="28" t="s">
        <v>547</v>
      </c>
      <c r="Q16" s="366" t="str">
        <f>IF(ISBLANK(建卡!D69),建卡!B69,建卡!B69&amp;建卡!D69)</f>
        <v>射击:手枪</v>
      </c>
      <c r="R16" s="366"/>
      <c r="S16" s="366"/>
      <c r="T16" s="366"/>
      <c r="U16" s="366"/>
      <c r="V16" s="367">
        <f>建卡!M69</f>
        <v>20</v>
      </c>
      <c r="W16" s="367"/>
      <c r="X16" s="367"/>
      <c r="Y16" s="367"/>
      <c r="Z16" s="267" t="str">
        <f t="shared" ref="Z16" si="8">SUM(V16:Y16)&amp;"% ("&amp;INT(SUM(V16:Y16)/2)&amp;"/"&amp;INT(SUM(V16:Y16)/5)&amp;")"</f>
        <v>20% (10/4)</v>
      </c>
      <c r="AA16" s="267"/>
      <c r="AB16" s="267"/>
      <c r="AC16" s="368"/>
      <c r="AD16" s="28" t="s">
        <v>547</v>
      </c>
      <c r="AE16" s="366" t="str">
        <f>IF(ISBLANK(建卡!U58),建卡!S58,建卡!S58&amp;建卡!U58)</f>
        <v>说服</v>
      </c>
      <c r="AF16" s="366"/>
      <c r="AG16" s="366"/>
      <c r="AH16" s="366"/>
      <c r="AI16" s="366"/>
      <c r="AJ16" s="367">
        <f>建卡!AD58</f>
        <v>10</v>
      </c>
      <c r="AK16" s="367"/>
      <c r="AL16" s="367"/>
      <c r="AM16" s="367"/>
      <c r="AN16" s="267" t="str">
        <f>SUM(AJ16:AM16)&amp;"% ("&amp;INT(SUM(AJ16:AM16)/2)&amp;"/"&amp;INT(SUM(AJ16:AM16)/5)&amp;")"</f>
        <v>10% (5/2)</v>
      </c>
      <c r="AO16" s="267"/>
      <c r="AP16" s="267"/>
      <c r="AQ16" s="358"/>
    </row>
    <row r="17" spans="2:43" x14ac:dyDescent="0.2">
      <c r="B17" s="33" t="s">
        <v>420</v>
      </c>
      <c r="C17" s="321" t="str">
        <f>IF(ISBLANK(建卡!D49),建卡!B49,建卡!B49&amp;建卡!D49)</f>
        <v>人类学</v>
      </c>
      <c r="D17" s="321"/>
      <c r="E17" s="321"/>
      <c r="F17" s="321"/>
      <c r="G17" s="321"/>
      <c r="H17" s="359">
        <f>建卡!M49</f>
        <v>1</v>
      </c>
      <c r="I17" s="359"/>
      <c r="J17" s="359"/>
      <c r="K17" s="359"/>
      <c r="L17" s="272" t="str">
        <f t="shared" ref="L17:L36" si="9">SUM(H17:K17)&amp;"% ("&amp;INT(SUM(H17:K17)/2)&amp;"/"&amp;INT(SUM(H17:K17)/5)&amp;")"</f>
        <v>1% (0/0)</v>
      </c>
      <c r="M17" s="272"/>
      <c r="N17" s="272"/>
      <c r="O17" s="369"/>
      <c r="P17" s="30" t="s">
        <v>547</v>
      </c>
      <c r="Q17" s="321" t="str">
        <f>IF(ISBLANK(建卡!D70),建卡!B70,建卡!B70&amp;建卡!D70)</f>
        <v>射击:步枪/霰弹枪</v>
      </c>
      <c r="R17" s="321"/>
      <c r="S17" s="321"/>
      <c r="T17" s="321"/>
      <c r="U17" s="321"/>
      <c r="V17" s="359">
        <f>建卡!M70</f>
        <v>25</v>
      </c>
      <c r="W17" s="359"/>
      <c r="X17" s="359"/>
      <c r="Y17" s="359"/>
      <c r="Z17" s="272" t="str">
        <f t="shared" ref="Z17:Z26" si="10">SUM(V17:Y17)&amp;"% ("&amp;INT(SUM(V17:Y17)/2)&amp;"/"&amp;INT(SUM(V17:Y17)/5)&amp;")"</f>
        <v>25% (12/5)</v>
      </c>
      <c r="AA17" s="272"/>
      <c r="AB17" s="272"/>
      <c r="AC17" s="369"/>
      <c r="AD17" s="30" t="s">
        <v>547</v>
      </c>
      <c r="AE17" s="321" t="str">
        <f>IF(ISBLANK(建卡!U59),建卡!S59,建卡!S59&amp;建卡!U59)</f>
        <v>驾驶:</v>
      </c>
      <c r="AF17" s="321"/>
      <c r="AG17" s="321"/>
      <c r="AH17" s="321"/>
      <c r="AI17" s="321"/>
      <c r="AJ17" s="359">
        <f>建卡!AD59</f>
        <v>1</v>
      </c>
      <c r="AK17" s="359"/>
      <c r="AL17" s="359"/>
      <c r="AM17" s="359"/>
      <c r="AN17" s="272" t="str">
        <f t="shared" ref="AN17:AN36" si="11">SUM(AJ17:AM17)&amp;"% ("&amp;INT(SUM(AJ17:AM17)/2)&amp;"/"&amp;INT(SUM(AJ17:AM17)/5)&amp;")"</f>
        <v>1% (0/0)</v>
      </c>
      <c r="AO17" s="272"/>
      <c r="AP17" s="272"/>
      <c r="AQ17" s="360"/>
    </row>
    <row r="18" spans="2:43" x14ac:dyDescent="0.2">
      <c r="B18" s="32" t="s">
        <v>420</v>
      </c>
      <c r="C18" s="366" t="str">
        <f>IF(ISBLANK(建卡!D50),建卡!B50,建卡!B50&amp;建卡!D50)</f>
        <v>估价</v>
      </c>
      <c r="D18" s="366"/>
      <c r="E18" s="366"/>
      <c r="F18" s="366"/>
      <c r="G18" s="366"/>
      <c r="H18" s="367">
        <f>建卡!M50</f>
        <v>5</v>
      </c>
      <c r="I18" s="367"/>
      <c r="J18" s="367"/>
      <c r="K18" s="367"/>
      <c r="L18" s="267" t="str">
        <f t="shared" si="9"/>
        <v>5% (2/1)</v>
      </c>
      <c r="M18" s="267"/>
      <c r="N18" s="267"/>
      <c r="O18" s="368"/>
      <c r="P18" s="28" t="s">
        <v>547</v>
      </c>
      <c r="Q18" s="366" t="str">
        <f>IF(ISBLANK(建卡!D71),建卡!B71,建卡!B71&amp;建卡!D71)</f>
        <v>射击:</v>
      </c>
      <c r="R18" s="366"/>
      <c r="S18" s="366"/>
      <c r="T18" s="366"/>
      <c r="U18" s="366"/>
      <c r="V18" s="367">
        <f>建卡!M71</f>
        <v>0</v>
      </c>
      <c r="W18" s="367"/>
      <c r="X18" s="367"/>
      <c r="Y18" s="367"/>
      <c r="Z18" s="267" t="str">
        <f t="shared" si="10"/>
        <v>0% (0/0)</v>
      </c>
      <c r="AA18" s="267"/>
      <c r="AB18" s="267"/>
      <c r="AC18" s="368"/>
      <c r="AD18" s="28" t="s">
        <v>547</v>
      </c>
      <c r="AE18" s="366" t="str">
        <f>IF(ISBLANK(建卡!U60),建卡!S60,建卡!S60&amp;建卡!U60)</f>
        <v>精神分析</v>
      </c>
      <c r="AF18" s="366"/>
      <c r="AG18" s="366"/>
      <c r="AH18" s="366"/>
      <c r="AI18" s="366"/>
      <c r="AJ18" s="367">
        <f>建卡!AD60</f>
        <v>1</v>
      </c>
      <c r="AK18" s="367"/>
      <c r="AL18" s="367"/>
      <c r="AM18" s="367"/>
      <c r="AN18" s="267" t="str">
        <f t="shared" si="11"/>
        <v>1% (0/0)</v>
      </c>
      <c r="AO18" s="267"/>
      <c r="AP18" s="267"/>
      <c r="AQ18" s="358"/>
    </row>
    <row r="19" spans="2:43" x14ac:dyDescent="0.2">
      <c r="B19" s="33" t="s">
        <v>420</v>
      </c>
      <c r="C19" s="321" t="str">
        <f>IF(ISBLANK(建卡!D51),建卡!B51,建卡!B51&amp;建卡!D51)</f>
        <v>考古学</v>
      </c>
      <c r="D19" s="321"/>
      <c r="E19" s="321"/>
      <c r="F19" s="321"/>
      <c r="G19" s="321"/>
      <c r="H19" s="359">
        <f>建卡!M51</f>
        <v>1</v>
      </c>
      <c r="I19" s="359"/>
      <c r="J19" s="359"/>
      <c r="K19" s="359"/>
      <c r="L19" s="272" t="str">
        <f t="shared" si="9"/>
        <v>1% (0/0)</v>
      </c>
      <c r="M19" s="272"/>
      <c r="N19" s="272"/>
      <c r="O19" s="369"/>
      <c r="P19" s="30" t="s">
        <v>547</v>
      </c>
      <c r="Q19" s="321" t="str">
        <f>IF(ISBLANK(建卡!D72),建卡!B72,建卡!B72&amp;建卡!D72)</f>
        <v>急救</v>
      </c>
      <c r="R19" s="321"/>
      <c r="S19" s="321"/>
      <c r="T19" s="321"/>
      <c r="U19" s="321"/>
      <c r="V19" s="359">
        <f>建卡!M72</f>
        <v>30</v>
      </c>
      <c r="W19" s="359"/>
      <c r="X19" s="359"/>
      <c r="Y19" s="359"/>
      <c r="Z19" s="272" t="str">
        <f t="shared" si="10"/>
        <v>30% (15/6)</v>
      </c>
      <c r="AA19" s="272"/>
      <c r="AB19" s="272"/>
      <c r="AC19" s="369"/>
      <c r="AD19" s="30" t="s">
        <v>547</v>
      </c>
      <c r="AE19" s="321" t="str">
        <f>IF(ISBLANK(建卡!U61),建卡!S61,建卡!S61&amp;建卡!U61)</f>
        <v>心理学</v>
      </c>
      <c r="AF19" s="321"/>
      <c r="AG19" s="321"/>
      <c r="AH19" s="321"/>
      <c r="AI19" s="321"/>
      <c r="AJ19" s="359">
        <f>建卡!AD61</f>
        <v>10</v>
      </c>
      <c r="AK19" s="359"/>
      <c r="AL19" s="359"/>
      <c r="AM19" s="359"/>
      <c r="AN19" s="272" t="str">
        <f t="shared" si="11"/>
        <v>10% (5/2)</v>
      </c>
      <c r="AO19" s="272"/>
      <c r="AP19" s="272"/>
      <c r="AQ19" s="360"/>
    </row>
    <row r="20" spans="2:43" x14ac:dyDescent="0.2">
      <c r="B20" s="32" t="s">
        <v>420</v>
      </c>
      <c r="C20" s="366" t="str">
        <f>IF(ISBLANK(建卡!D52),建卡!B52,建卡!B52&amp;建卡!D52)</f>
        <v>技艺:</v>
      </c>
      <c r="D20" s="366"/>
      <c r="E20" s="366"/>
      <c r="F20" s="366"/>
      <c r="G20" s="366"/>
      <c r="H20" s="367">
        <f>建卡!M52</f>
        <v>5</v>
      </c>
      <c r="I20" s="367"/>
      <c r="J20" s="367"/>
      <c r="K20" s="367"/>
      <c r="L20" s="267" t="str">
        <f t="shared" si="9"/>
        <v>5% (2/1)</v>
      </c>
      <c r="M20" s="267"/>
      <c r="N20" s="267"/>
      <c r="O20" s="368"/>
      <c r="P20" s="28" t="s">
        <v>547</v>
      </c>
      <c r="Q20" s="366" t="str">
        <f>IF(ISBLANK(建卡!D73),建卡!B73,建卡!B73&amp;建卡!D73)</f>
        <v>历史</v>
      </c>
      <c r="R20" s="366"/>
      <c r="S20" s="366"/>
      <c r="T20" s="366"/>
      <c r="U20" s="366"/>
      <c r="V20" s="367">
        <f>建卡!M73</f>
        <v>5</v>
      </c>
      <c r="W20" s="367"/>
      <c r="X20" s="367"/>
      <c r="Y20" s="367"/>
      <c r="Z20" s="267" t="str">
        <f t="shared" si="10"/>
        <v>5% (2/1)</v>
      </c>
      <c r="AA20" s="267"/>
      <c r="AB20" s="267"/>
      <c r="AC20" s="368"/>
      <c r="AD20" s="28" t="s">
        <v>547</v>
      </c>
      <c r="AE20" s="366" t="str">
        <f>IF(ISBLANK(建卡!U62),建卡!S62,建卡!S62&amp;建卡!U62)</f>
        <v>骑术</v>
      </c>
      <c r="AF20" s="366"/>
      <c r="AG20" s="366"/>
      <c r="AH20" s="366"/>
      <c r="AI20" s="366"/>
      <c r="AJ20" s="367">
        <f>建卡!AD62</f>
        <v>5</v>
      </c>
      <c r="AK20" s="367"/>
      <c r="AL20" s="367"/>
      <c r="AM20" s="367"/>
      <c r="AN20" s="267" t="str">
        <f t="shared" si="11"/>
        <v>5% (2/1)</v>
      </c>
      <c r="AO20" s="267"/>
      <c r="AP20" s="267"/>
      <c r="AQ20" s="358"/>
    </row>
    <row r="21" spans="2:43" x14ac:dyDescent="0.2">
      <c r="B21" s="33" t="s">
        <v>420</v>
      </c>
      <c r="C21" s="321" t="str">
        <f>IF(ISBLANK(建卡!D53),建卡!B53,建卡!B53&amp;建卡!D53)</f>
        <v>技艺:</v>
      </c>
      <c r="D21" s="321"/>
      <c r="E21" s="321"/>
      <c r="F21" s="321"/>
      <c r="G21" s="321"/>
      <c r="H21" s="359">
        <f>建卡!M53</f>
        <v>5</v>
      </c>
      <c r="I21" s="359"/>
      <c r="J21" s="359"/>
      <c r="K21" s="359"/>
      <c r="L21" s="272" t="str">
        <f t="shared" si="9"/>
        <v>5% (2/1)</v>
      </c>
      <c r="M21" s="272"/>
      <c r="N21" s="272"/>
      <c r="O21" s="369"/>
      <c r="P21" s="30" t="s">
        <v>547</v>
      </c>
      <c r="Q21" s="321" t="str">
        <f>IF(ISBLANK(建卡!D74),建卡!B74,建卡!B74&amp;建卡!D74)</f>
        <v>恐吓</v>
      </c>
      <c r="R21" s="321"/>
      <c r="S21" s="321"/>
      <c r="T21" s="321"/>
      <c r="U21" s="321"/>
      <c r="V21" s="359">
        <f>建卡!M74</f>
        <v>15</v>
      </c>
      <c r="W21" s="359"/>
      <c r="X21" s="359"/>
      <c r="Y21" s="359"/>
      <c r="Z21" s="272" t="str">
        <f t="shared" si="10"/>
        <v>15% (7/3)</v>
      </c>
      <c r="AA21" s="272"/>
      <c r="AB21" s="272"/>
      <c r="AC21" s="369"/>
      <c r="AD21" s="30" t="s">
        <v>547</v>
      </c>
      <c r="AE21" s="321" t="str">
        <f>IF(ISBLANK(建卡!U63),建卡!S63,建卡!S63&amp;建卡!U63)</f>
        <v>科学:地质学</v>
      </c>
      <c r="AF21" s="321"/>
      <c r="AG21" s="321"/>
      <c r="AH21" s="321"/>
      <c r="AI21" s="321"/>
      <c r="AJ21" s="359">
        <f>建卡!AD63</f>
        <v>1</v>
      </c>
      <c r="AK21" s="359"/>
      <c r="AL21" s="359"/>
      <c r="AM21" s="359"/>
      <c r="AN21" s="272" t="str">
        <f t="shared" si="11"/>
        <v>1% (0/0)</v>
      </c>
      <c r="AO21" s="272"/>
      <c r="AP21" s="272"/>
      <c r="AQ21" s="360"/>
    </row>
    <row r="22" spans="2:43" x14ac:dyDescent="0.2">
      <c r="B22" s="32" t="s">
        <v>420</v>
      </c>
      <c r="C22" s="366" t="str">
        <f>IF(ISBLANK(建卡!D54),建卡!B54,建卡!B54&amp;建卡!D54)</f>
        <v>技艺:</v>
      </c>
      <c r="D22" s="366"/>
      <c r="E22" s="366"/>
      <c r="F22" s="366"/>
      <c r="G22" s="366"/>
      <c r="H22" s="367">
        <f>建卡!M54</f>
        <v>5</v>
      </c>
      <c r="I22" s="367"/>
      <c r="J22" s="367"/>
      <c r="K22" s="367"/>
      <c r="L22" s="267" t="str">
        <f t="shared" si="9"/>
        <v>5% (2/1)</v>
      </c>
      <c r="M22" s="267"/>
      <c r="N22" s="267"/>
      <c r="O22" s="368"/>
      <c r="P22" s="28" t="s">
        <v>547</v>
      </c>
      <c r="Q22" s="366" t="str">
        <f>IF(ISBLANK(建卡!D75),建卡!B75,建卡!B75&amp;建卡!D75)</f>
        <v>跳跃</v>
      </c>
      <c r="R22" s="366"/>
      <c r="S22" s="366"/>
      <c r="T22" s="366"/>
      <c r="U22" s="366"/>
      <c r="V22" s="367">
        <f>建卡!M75</f>
        <v>20</v>
      </c>
      <c r="W22" s="367"/>
      <c r="X22" s="367"/>
      <c r="Y22" s="367"/>
      <c r="Z22" s="267" t="str">
        <f t="shared" si="10"/>
        <v>20% (10/4)</v>
      </c>
      <c r="AA22" s="267"/>
      <c r="AB22" s="267"/>
      <c r="AC22" s="368"/>
      <c r="AD22" s="28" t="s">
        <v>547</v>
      </c>
      <c r="AE22" s="366" t="str">
        <f>IF(ISBLANK(建卡!U64),建卡!S64,建卡!S64&amp;建卡!U64)</f>
        <v>科学:</v>
      </c>
      <c r="AF22" s="366"/>
      <c r="AG22" s="366"/>
      <c r="AH22" s="366"/>
      <c r="AI22" s="366"/>
      <c r="AJ22" s="367">
        <f>建卡!AD64</f>
        <v>1</v>
      </c>
      <c r="AK22" s="367"/>
      <c r="AL22" s="367"/>
      <c r="AM22" s="367"/>
      <c r="AN22" s="267" t="str">
        <f t="shared" si="11"/>
        <v>1% (0/0)</v>
      </c>
      <c r="AO22" s="267"/>
      <c r="AP22" s="267"/>
      <c r="AQ22" s="358"/>
    </row>
    <row r="23" spans="2:43" x14ac:dyDescent="0.2">
      <c r="B23" s="33" t="s">
        <v>420</v>
      </c>
      <c r="C23" s="321" t="str">
        <f>IF(ISBLANK(建卡!D55),建卡!B55,建卡!B55&amp;建卡!D55)</f>
        <v>魅惑</v>
      </c>
      <c r="D23" s="321"/>
      <c r="E23" s="321"/>
      <c r="F23" s="321"/>
      <c r="G23" s="321"/>
      <c r="H23" s="359">
        <f>建卡!M55</f>
        <v>15</v>
      </c>
      <c r="I23" s="359"/>
      <c r="J23" s="359"/>
      <c r="K23" s="359"/>
      <c r="L23" s="272" t="str">
        <f t="shared" si="9"/>
        <v>15% (7/3)</v>
      </c>
      <c r="M23" s="272"/>
      <c r="N23" s="272"/>
      <c r="O23" s="369"/>
      <c r="P23" s="30" t="s">
        <v>547</v>
      </c>
      <c r="Q23" s="321" t="str">
        <f>IF(ISBLANK(建卡!D76),建卡!B76,建卡!B76&amp;建卡!D76)</f>
        <v>语言:</v>
      </c>
      <c r="R23" s="321"/>
      <c r="S23" s="321"/>
      <c r="T23" s="321"/>
      <c r="U23" s="321"/>
      <c r="V23" s="359">
        <f>建卡!M76</f>
        <v>1</v>
      </c>
      <c r="W23" s="359"/>
      <c r="X23" s="359"/>
      <c r="Y23" s="359"/>
      <c r="Z23" s="272" t="str">
        <f t="shared" si="10"/>
        <v>1% (0/0)</v>
      </c>
      <c r="AA23" s="272"/>
      <c r="AB23" s="272"/>
      <c r="AC23" s="369"/>
      <c r="AD23" s="30" t="s">
        <v>547</v>
      </c>
      <c r="AE23" s="321" t="str">
        <f>IF(ISBLANK(建卡!U65),建卡!S65,建卡!S65&amp;建卡!U65)</f>
        <v>科学:</v>
      </c>
      <c r="AF23" s="321"/>
      <c r="AG23" s="321"/>
      <c r="AH23" s="321"/>
      <c r="AI23" s="321"/>
      <c r="AJ23" s="359">
        <f>建卡!AD65</f>
        <v>1</v>
      </c>
      <c r="AK23" s="359"/>
      <c r="AL23" s="359"/>
      <c r="AM23" s="359"/>
      <c r="AN23" s="272" t="str">
        <f t="shared" si="11"/>
        <v>1% (0/0)</v>
      </c>
      <c r="AO23" s="272"/>
      <c r="AP23" s="272"/>
      <c r="AQ23" s="360"/>
    </row>
    <row r="24" spans="2:43" x14ac:dyDescent="0.2">
      <c r="B24" s="32" t="s">
        <v>420</v>
      </c>
      <c r="C24" s="366" t="str">
        <f>IF(ISBLANK(建卡!D56),建卡!B56,建卡!B56&amp;建卡!D56)</f>
        <v>攀爬</v>
      </c>
      <c r="D24" s="366"/>
      <c r="E24" s="366"/>
      <c r="F24" s="366"/>
      <c r="G24" s="366"/>
      <c r="H24" s="367">
        <f>建卡!M56</f>
        <v>20</v>
      </c>
      <c r="I24" s="367"/>
      <c r="J24" s="367"/>
      <c r="K24" s="367"/>
      <c r="L24" s="267" t="str">
        <f t="shared" si="9"/>
        <v>20% (10/4)</v>
      </c>
      <c r="M24" s="267"/>
      <c r="N24" s="267"/>
      <c r="O24" s="368"/>
      <c r="P24" s="28" t="s">
        <v>547</v>
      </c>
      <c r="Q24" s="366" t="str">
        <f>IF(ISBLANK(建卡!D77),建卡!B77,建卡!B77&amp;建卡!D77)</f>
        <v>语言:</v>
      </c>
      <c r="R24" s="366"/>
      <c r="S24" s="366"/>
      <c r="T24" s="366"/>
      <c r="U24" s="366"/>
      <c r="V24" s="367">
        <f>建卡!M77</f>
        <v>1</v>
      </c>
      <c r="W24" s="367"/>
      <c r="X24" s="367"/>
      <c r="Y24" s="367"/>
      <c r="Z24" s="267" t="str">
        <f t="shared" si="10"/>
        <v>1% (0/0)</v>
      </c>
      <c r="AA24" s="267"/>
      <c r="AB24" s="267"/>
      <c r="AC24" s="368"/>
      <c r="AD24" s="28" t="s">
        <v>547</v>
      </c>
      <c r="AE24" s="366" t="str">
        <f>IF(ISBLANK(建卡!U66),建卡!S66,建卡!S66&amp;建卡!U66)</f>
        <v>妙手</v>
      </c>
      <c r="AF24" s="366"/>
      <c r="AG24" s="366"/>
      <c r="AH24" s="366"/>
      <c r="AI24" s="366"/>
      <c r="AJ24" s="367">
        <f>建卡!AD66</f>
        <v>10</v>
      </c>
      <c r="AK24" s="367"/>
      <c r="AL24" s="367"/>
      <c r="AM24" s="367"/>
      <c r="AN24" s="267" t="str">
        <f t="shared" si="11"/>
        <v>10% (5/2)</v>
      </c>
      <c r="AO24" s="267"/>
      <c r="AP24" s="267"/>
      <c r="AQ24" s="358"/>
    </row>
    <row r="25" spans="2:43" x14ac:dyDescent="0.2">
      <c r="B25" s="33" t="s">
        <v>420</v>
      </c>
      <c r="C25" s="321" t="str">
        <f>IF(ISBLANK(建卡!D57),建卡!B57,建卡!B57&amp;建卡!D57)</f>
        <v>Ω</v>
      </c>
      <c r="D25" s="321"/>
      <c r="E25" s="321"/>
      <c r="F25" s="321"/>
      <c r="G25" s="321"/>
      <c r="H25" s="359">
        <f>建卡!M57</f>
        <v>5</v>
      </c>
      <c r="I25" s="359"/>
      <c r="J25" s="359"/>
      <c r="K25" s="359"/>
      <c r="L25" s="272" t="str">
        <f t="shared" si="9"/>
        <v>5% (2/1)</v>
      </c>
      <c r="M25" s="272"/>
      <c r="N25" s="272"/>
      <c r="O25" s="369"/>
      <c r="P25" s="30" t="s">
        <v>547</v>
      </c>
      <c r="Q25" s="321" t="str">
        <f>IF(ISBLANK(建卡!D78),建卡!B78,建卡!B78&amp;建卡!D78)</f>
        <v>语言:</v>
      </c>
      <c r="R25" s="321"/>
      <c r="S25" s="321"/>
      <c r="T25" s="321"/>
      <c r="U25" s="321"/>
      <c r="V25" s="359">
        <f>建卡!M78</f>
        <v>1</v>
      </c>
      <c r="W25" s="359"/>
      <c r="X25" s="359"/>
      <c r="Y25" s="359"/>
      <c r="Z25" s="272" t="str">
        <f t="shared" si="10"/>
        <v>1% (0/0)</v>
      </c>
      <c r="AA25" s="272"/>
      <c r="AB25" s="272"/>
      <c r="AC25" s="369"/>
      <c r="AD25" s="30" t="s">
        <v>547</v>
      </c>
      <c r="AE25" s="321" t="str">
        <f>IF(ISBLANK(建卡!U67),建卡!S67,建卡!S67&amp;建卡!U67)</f>
        <v>侦查</v>
      </c>
      <c r="AF25" s="321"/>
      <c r="AG25" s="321"/>
      <c r="AH25" s="321"/>
      <c r="AI25" s="321"/>
      <c r="AJ25" s="359">
        <f>建卡!AD67</f>
        <v>25</v>
      </c>
      <c r="AK25" s="359"/>
      <c r="AL25" s="359"/>
      <c r="AM25" s="359"/>
      <c r="AN25" s="272" t="str">
        <f t="shared" si="11"/>
        <v>25% (12/5)</v>
      </c>
      <c r="AO25" s="272"/>
      <c r="AP25" s="272"/>
      <c r="AQ25" s="360"/>
    </row>
    <row r="26" spans="2:43" x14ac:dyDescent="0.2">
      <c r="B26" s="92"/>
      <c r="C26" s="366" t="str">
        <f>IF(ISBLANK(建卡!D58),建卡!B58,建卡!B58&amp;建卡!D58)</f>
        <v>信用评级</v>
      </c>
      <c r="D26" s="366"/>
      <c r="E26" s="366"/>
      <c r="F26" s="366"/>
      <c r="G26" s="366"/>
      <c r="H26" s="367">
        <f>建卡!M58</f>
        <v>0</v>
      </c>
      <c r="I26" s="367"/>
      <c r="J26" s="367"/>
      <c r="K26" s="367"/>
      <c r="L26" s="267" t="str">
        <f t="shared" si="9"/>
        <v>0% (0/0)</v>
      </c>
      <c r="M26" s="267"/>
      <c r="N26" s="267"/>
      <c r="O26" s="368"/>
      <c r="P26" s="28" t="s">
        <v>547</v>
      </c>
      <c r="Q26" s="366" t="str">
        <f>IF(ISBLANK(建卡!D79),建卡!B79,建卡!B79&amp;建卡!D79)</f>
        <v>母语:</v>
      </c>
      <c r="R26" s="366"/>
      <c r="S26" s="366"/>
      <c r="T26" s="366"/>
      <c r="U26" s="366"/>
      <c r="V26" s="367">
        <f>建卡!M79</f>
        <v>0</v>
      </c>
      <c r="W26" s="367"/>
      <c r="X26" s="367"/>
      <c r="Y26" s="367"/>
      <c r="Z26" s="267" t="str">
        <f t="shared" si="10"/>
        <v>0% (0/0)</v>
      </c>
      <c r="AA26" s="267"/>
      <c r="AB26" s="267"/>
      <c r="AC26" s="368"/>
      <c r="AD26" s="28" t="s">
        <v>547</v>
      </c>
      <c r="AE26" s="366" t="str">
        <f>IF(ISBLANK(建卡!U68),建卡!S68,建卡!S68&amp;建卡!U68)</f>
        <v>潜行</v>
      </c>
      <c r="AF26" s="366"/>
      <c r="AG26" s="366"/>
      <c r="AH26" s="366"/>
      <c r="AI26" s="366"/>
      <c r="AJ26" s="367">
        <f>建卡!AD68</f>
        <v>20</v>
      </c>
      <c r="AK26" s="367"/>
      <c r="AL26" s="367"/>
      <c r="AM26" s="367"/>
      <c r="AN26" s="267" t="str">
        <f t="shared" si="11"/>
        <v>20% (10/4)</v>
      </c>
      <c r="AO26" s="267"/>
      <c r="AP26" s="267"/>
      <c r="AQ26" s="358"/>
    </row>
    <row r="27" spans="2:43" x14ac:dyDescent="0.2">
      <c r="B27" s="93"/>
      <c r="C27" s="321" t="str">
        <f>IF(ISBLANK(建卡!D59),建卡!B59,建卡!B59&amp;建卡!D59)</f>
        <v>克苏鲁神话</v>
      </c>
      <c r="D27" s="321"/>
      <c r="E27" s="321"/>
      <c r="F27" s="321"/>
      <c r="G27" s="321"/>
      <c r="H27" s="359">
        <f>建卡!M59</f>
        <v>0</v>
      </c>
      <c r="I27" s="359"/>
      <c r="J27" s="359"/>
      <c r="K27" s="359"/>
      <c r="L27" s="272" t="str">
        <f t="shared" si="9"/>
        <v>0% (0/0)</v>
      </c>
      <c r="M27" s="272"/>
      <c r="N27" s="272"/>
      <c r="O27" s="369"/>
      <c r="P27" s="30" t="s">
        <v>547</v>
      </c>
      <c r="Q27" s="321" t="str">
        <f>IF(ISBLANK(建卡!U48),建卡!S48,建卡!S48&amp;建卡!U48)</f>
        <v>法律</v>
      </c>
      <c r="R27" s="321"/>
      <c r="S27" s="321"/>
      <c r="T27" s="321"/>
      <c r="U27" s="321"/>
      <c r="V27" s="359">
        <f>建卡!AD48</f>
        <v>5</v>
      </c>
      <c r="W27" s="359"/>
      <c r="X27" s="359"/>
      <c r="Y27" s="359"/>
      <c r="Z27" s="272" t="str">
        <f t="shared" ref="Z27" si="12">SUM(V27:Y27)&amp;"% ("&amp;INT(SUM(V27:Y27)/2)&amp;"/"&amp;INT(SUM(V27:Y27)/5)&amp;")"</f>
        <v>5% (2/1)</v>
      </c>
      <c r="AA27" s="272"/>
      <c r="AB27" s="272"/>
      <c r="AC27" s="369"/>
      <c r="AD27" s="30" t="s">
        <v>547</v>
      </c>
      <c r="AE27" s="321" t="str">
        <f>IF(ISBLANK(建卡!U69),建卡!S69,建卡!S69&amp;建卡!U69)</f>
        <v>生存:</v>
      </c>
      <c r="AF27" s="321"/>
      <c r="AG27" s="321"/>
      <c r="AH27" s="321"/>
      <c r="AI27" s="321"/>
      <c r="AJ27" s="359">
        <f>建卡!AD69</f>
        <v>10</v>
      </c>
      <c r="AK27" s="359"/>
      <c r="AL27" s="359"/>
      <c r="AM27" s="359"/>
      <c r="AN27" s="272" t="str">
        <f t="shared" si="11"/>
        <v>10% (5/2)</v>
      </c>
      <c r="AO27" s="272"/>
      <c r="AP27" s="272"/>
      <c r="AQ27" s="360"/>
    </row>
    <row r="28" spans="2:43" x14ac:dyDescent="0.2">
      <c r="B28" s="32" t="s">
        <v>420</v>
      </c>
      <c r="C28" s="366" t="str">
        <f>IF(ISBLANK(建卡!D60),建卡!B60,建卡!B60&amp;建卡!D60)</f>
        <v>乔装</v>
      </c>
      <c r="D28" s="366"/>
      <c r="E28" s="366"/>
      <c r="F28" s="366"/>
      <c r="G28" s="366"/>
      <c r="H28" s="367">
        <f>建卡!M60</f>
        <v>5</v>
      </c>
      <c r="I28" s="367"/>
      <c r="J28" s="367"/>
      <c r="K28" s="367"/>
      <c r="L28" s="267" t="str">
        <f t="shared" si="9"/>
        <v>5% (2/1)</v>
      </c>
      <c r="M28" s="267"/>
      <c r="N28" s="267"/>
      <c r="O28" s="368"/>
      <c r="P28" s="28" t="s">
        <v>547</v>
      </c>
      <c r="Q28" s="366" t="str">
        <f>IF(ISBLANK(建卡!U49),建卡!S49,建卡!S49&amp;建卡!U49)</f>
        <v>图书馆使用</v>
      </c>
      <c r="R28" s="366"/>
      <c r="S28" s="366"/>
      <c r="T28" s="366"/>
      <c r="U28" s="366"/>
      <c r="V28" s="367">
        <f>建卡!AD49</f>
        <v>20</v>
      </c>
      <c r="W28" s="367"/>
      <c r="X28" s="367"/>
      <c r="Y28" s="367"/>
      <c r="Z28" s="267" t="str">
        <f t="shared" ref="Z28:Z36" si="13">SUM(V28:Y28)&amp;"% ("&amp;INT(SUM(V28:Y28)/2)&amp;"/"&amp;INT(SUM(V28:Y28)/5)&amp;")"</f>
        <v>20% (10/4)</v>
      </c>
      <c r="AA28" s="267"/>
      <c r="AB28" s="267"/>
      <c r="AC28" s="368"/>
      <c r="AD28" s="28" t="s">
        <v>547</v>
      </c>
      <c r="AE28" s="366" t="str">
        <f>IF(ISBLANK(建卡!U70),建卡!S70,建卡!S70&amp;建卡!U70)</f>
        <v>游泳</v>
      </c>
      <c r="AF28" s="366"/>
      <c r="AG28" s="366"/>
      <c r="AH28" s="366"/>
      <c r="AI28" s="366"/>
      <c r="AJ28" s="367">
        <f>建卡!AD70</f>
        <v>20</v>
      </c>
      <c r="AK28" s="367"/>
      <c r="AL28" s="367"/>
      <c r="AM28" s="367"/>
      <c r="AN28" s="267" t="str">
        <f t="shared" si="11"/>
        <v>20% (10/4)</v>
      </c>
      <c r="AO28" s="267"/>
      <c r="AP28" s="267"/>
      <c r="AQ28" s="358"/>
    </row>
    <row r="29" spans="2:43" x14ac:dyDescent="0.2">
      <c r="B29" s="33" t="s">
        <v>420</v>
      </c>
      <c r="C29" s="321" t="str">
        <f>IF(ISBLANK(建卡!D61),建卡!B61,建卡!B61&amp;建卡!D61)</f>
        <v>闪避</v>
      </c>
      <c r="D29" s="321"/>
      <c r="E29" s="321"/>
      <c r="F29" s="321"/>
      <c r="G29" s="321"/>
      <c r="H29" s="359">
        <f>建卡!M61</f>
        <v>0</v>
      </c>
      <c r="I29" s="359"/>
      <c r="J29" s="359"/>
      <c r="K29" s="359"/>
      <c r="L29" s="272" t="str">
        <f t="shared" si="9"/>
        <v>0% (0/0)</v>
      </c>
      <c r="M29" s="272"/>
      <c r="N29" s="272"/>
      <c r="O29" s="369"/>
      <c r="P29" s="30" t="s">
        <v>547</v>
      </c>
      <c r="Q29" s="321" t="str">
        <f>IF(ISBLANK(建卡!U50),建卡!S50,建卡!S50&amp;建卡!U50)</f>
        <v>聆听</v>
      </c>
      <c r="R29" s="321"/>
      <c r="S29" s="321"/>
      <c r="T29" s="321"/>
      <c r="U29" s="321"/>
      <c r="V29" s="359">
        <f>建卡!AD50</f>
        <v>20</v>
      </c>
      <c r="W29" s="359"/>
      <c r="X29" s="359"/>
      <c r="Y29" s="359"/>
      <c r="Z29" s="272" t="str">
        <f t="shared" si="13"/>
        <v>20% (10/4)</v>
      </c>
      <c r="AA29" s="272"/>
      <c r="AB29" s="272"/>
      <c r="AC29" s="369"/>
      <c r="AD29" s="30" t="s">
        <v>547</v>
      </c>
      <c r="AE29" s="321" t="str">
        <f>IF(ISBLANK(建卡!U71),建卡!S71,建卡!S71&amp;建卡!U71)</f>
        <v>投掷</v>
      </c>
      <c r="AF29" s="321"/>
      <c r="AG29" s="321"/>
      <c r="AH29" s="321"/>
      <c r="AI29" s="321"/>
      <c r="AJ29" s="359">
        <f>建卡!AD71</f>
        <v>20</v>
      </c>
      <c r="AK29" s="359"/>
      <c r="AL29" s="359"/>
      <c r="AM29" s="359"/>
      <c r="AN29" s="272" t="str">
        <f t="shared" si="11"/>
        <v>20% (10/4)</v>
      </c>
      <c r="AO29" s="272"/>
      <c r="AP29" s="272"/>
      <c r="AQ29" s="360"/>
    </row>
    <row r="30" spans="2:43" x14ac:dyDescent="0.2">
      <c r="B30" s="32" t="s">
        <v>420</v>
      </c>
      <c r="C30" s="366" t="str">
        <f>IF(ISBLANK(建卡!D62),建卡!B62,建卡!B62&amp;建卡!D62)</f>
        <v>汽车驾驶</v>
      </c>
      <c r="D30" s="366"/>
      <c r="E30" s="366"/>
      <c r="F30" s="366"/>
      <c r="G30" s="366"/>
      <c r="H30" s="367">
        <f>建卡!M62</f>
        <v>20</v>
      </c>
      <c r="I30" s="367"/>
      <c r="J30" s="367"/>
      <c r="K30" s="367"/>
      <c r="L30" s="267" t="str">
        <f t="shared" si="9"/>
        <v>20% (10/4)</v>
      </c>
      <c r="M30" s="267"/>
      <c r="N30" s="267"/>
      <c r="O30" s="368"/>
      <c r="P30" s="28" t="s">
        <v>547</v>
      </c>
      <c r="Q30" s="366" t="str">
        <f>IF(ISBLANK(建卡!U51),建卡!S51,建卡!S51&amp;建卡!U51)</f>
        <v>锁匠</v>
      </c>
      <c r="R30" s="366"/>
      <c r="S30" s="366"/>
      <c r="T30" s="366"/>
      <c r="U30" s="366"/>
      <c r="V30" s="367">
        <f>建卡!AD51</f>
        <v>1</v>
      </c>
      <c r="W30" s="367"/>
      <c r="X30" s="367"/>
      <c r="Y30" s="367"/>
      <c r="Z30" s="267" t="str">
        <f t="shared" si="13"/>
        <v>1% (0/0)</v>
      </c>
      <c r="AA30" s="267"/>
      <c r="AB30" s="267"/>
      <c r="AC30" s="368"/>
      <c r="AD30" s="28" t="s">
        <v>547</v>
      </c>
      <c r="AE30" s="366" t="str">
        <f>IF(ISBLANK(建卡!U72),建卡!S72,建卡!S72&amp;建卡!U72)</f>
        <v>追踪</v>
      </c>
      <c r="AF30" s="366"/>
      <c r="AG30" s="366"/>
      <c r="AH30" s="366"/>
      <c r="AI30" s="366"/>
      <c r="AJ30" s="367">
        <f>建卡!AD72</f>
        <v>10</v>
      </c>
      <c r="AK30" s="367"/>
      <c r="AL30" s="367"/>
      <c r="AM30" s="367"/>
      <c r="AN30" s="267" t="str">
        <f t="shared" si="11"/>
        <v>10% (5/2)</v>
      </c>
      <c r="AO30" s="267"/>
      <c r="AP30" s="267"/>
      <c r="AQ30" s="358"/>
    </row>
    <row r="31" spans="2:43" x14ac:dyDescent="0.2">
      <c r="B31" s="33" t="s">
        <v>420</v>
      </c>
      <c r="C31" s="321" t="str">
        <f>IF(ISBLANK(建卡!D63),建卡!B63,建卡!B63&amp;建卡!D63)</f>
        <v>电气维修</v>
      </c>
      <c r="D31" s="321"/>
      <c r="E31" s="321"/>
      <c r="F31" s="321"/>
      <c r="G31" s="321"/>
      <c r="H31" s="359">
        <f>建卡!M63</f>
        <v>10</v>
      </c>
      <c r="I31" s="359"/>
      <c r="J31" s="359"/>
      <c r="K31" s="359"/>
      <c r="L31" s="272" t="str">
        <f t="shared" si="9"/>
        <v>10% (5/2)</v>
      </c>
      <c r="M31" s="272"/>
      <c r="N31" s="272"/>
      <c r="O31" s="369"/>
      <c r="P31" s="30" t="s">
        <v>547</v>
      </c>
      <c r="Q31" s="321" t="str">
        <f>IF(ISBLANK(建卡!U52),建卡!S52,建卡!S52&amp;建卡!U52)</f>
        <v>机械维修</v>
      </c>
      <c r="R31" s="321"/>
      <c r="S31" s="321"/>
      <c r="T31" s="321"/>
      <c r="U31" s="321"/>
      <c r="V31" s="359">
        <f>建卡!AD52</f>
        <v>10</v>
      </c>
      <c r="W31" s="359"/>
      <c r="X31" s="359"/>
      <c r="Y31" s="359"/>
      <c r="Z31" s="272" t="str">
        <f t="shared" si="13"/>
        <v>10% (5/2)</v>
      </c>
      <c r="AA31" s="272"/>
      <c r="AB31" s="272"/>
      <c r="AC31" s="369"/>
      <c r="AD31" s="30" t="s">
        <v>547</v>
      </c>
      <c r="AE31" s="321" t="str">
        <f>IF(ISBLANK(建卡!U73),建卡!S73,建卡!S73&amp;建卡!U73)</f>
        <v>潜水</v>
      </c>
      <c r="AF31" s="321"/>
      <c r="AG31" s="321"/>
      <c r="AH31" s="321"/>
      <c r="AI31" s="321"/>
      <c r="AJ31" s="359">
        <f>建卡!AD73</f>
        <v>1</v>
      </c>
      <c r="AK31" s="359"/>
      <c r="AL31" s="359"/>
      <c r="AM31" s="359"/>
      <c r="AN31" s="272" t="str">
        <f t="shared" si="11"/>
        <v>1% (0/0)</v>
      </c>
      <c r="AO31" s="272"/>
      <c r="AP31" s="272"/>
      <c r="AQ31" s="360"/>
    </row>
    <row r="32" spans="2:43" x14ac:dyDescent="0.2">
      <c r="B32" s="32" t="s">
        <v>420</v>
      </c>
      <c r="C32" s="366" t="str">
        <f>IF(ISBLANK(建卡!D64),建卡!B64,建卡!B64&amp;建卡!D64)</f>
        <v>Ω</v>
      </c>
      <c r="D32" s="366"/>
      <c r="E32" s="366"/>
      <c r="F32" s="366"/>
      <c r="G32" s="366"/>
      <c r="H32" s="367">
        <f>建卡!M64</f>
        <v>1</v>
      </c>
      <c r="I32" s="367"/>
      <c r="J32" s="367"/>
      <c r="K32" s="367"/>
      <c r="L32" s="267" t="str">
        <f t="shared" si="9"/>
        <v>1% (0/0)</v>
      </c>
      <c r="M32" s="267"/>
      <c r="N32" s="267"/>
      <c r="O32" s="368"/>
      <c r="P32" s="28" t="s">
        <v>547</v>
      </c>
      <c r="Q32" s="366" t="str">
        <f>IF(ISBLANK(建卡!U53),建卡!S53,建卡!S53&amp;建卡!U53)</f>
        <v>医学</v>
      </c>
      <c r="R32" s="366"/>
      <c r="S32" s="366"/>
      <c r="T32" s="366"/>
      <c r="U32" s="366"/>
      <c r="V32" s="367">
        <f>建卡!AD53</f>
        <v>1</v>
      </c>
      <c r="W32" s="367"/>
      <c r="X32" s="367"/>
      <c r="Y32" s="367"/>
      <c r="Z32" s="267" t="str">
        <f t="shared" si="13"/>
        <v>1% (0/0)</v>
      </c>
      <c r="AA32" s="267"/>
      <c r="AB32" s="267"/>
      <c r="AC32" s="368"/>
      <c r="AD32" s="28" t="s">
        <v>547</v>
      </c>
      <c r="AE32" s="366" t="str">
        <f>IF(ISBLANK(建卡!S74),"",建卡!S74)</f>
        <v/>
      </c>
      <c r="AF32" s="366"/>
      <c r="AG32" s="366"/>
      <c r="AH32" s="366"/>
      <c r="AI32" s="366"/>
      <c r="AJ32" s="367">
        <f>建卡!AD74</f>
        <v>0</v>
      </c>
      <c r="AK32" s="367"/>
      <c r="AL32" s="367"/>
      <c r="AM32" s="367"/>
      <c r="AN32" s="267" t="str">
        <f t="shared" si="11"/>
        <v>0% (0/0)</v>
      </c>
      <c r="AO32" s="267"/>
      <c r="AP32" s="267"/>
      <c r="AQ32" s="358"/>
    </row>
    <row r="33" spans="2:43" x14ac:dyDescent="0.2">
      <c r="B33" s="33" t="s">
        <v>420</v>
      </c>
      <c r="C33" s="321" t="str">
        <f>IF(ISBLANK(建卡!D65),建卡!B65,建卡!B65&amp;建卡!D65)</f>
        <v>话术</v>
      </c>
      <c r="D33" s="321"/>
      <c r="E33" s="321"/>
      <c r="F33" s="321"/>
      <c r="G33" s="321"/>
      <c r="H33" s="359">
        <f>建卡!M65</f>
        <v>5</v>
      </c>
      <c r="I33" s="359"/>
      <c r="J33" s="359"/>
      <c r="K33" s="359"/>
      <c r="L33" s="272" t="str">
        <f t="shared" si="9"/>
        <v>5% (2/1)</v>
      </c>
      <c r="M33" s="272"/>
      <c r="N33" s="272"/>
      <c r="O33" s="369"/>
      <c r="P33" s="30" t="s">
        <v>547</v>
      </c>
      <c r="Q33" s="321" t="str">
        <f>IF(ISBLANK(建卡!U54),建卡!S54,建卡!S54&amp;建卡!U54)</f>
        <v>博物学</v>
      </c>
      <c r="R33" s="321"/>
      <c r="S33" s="321"/>
      <c r="T33" s="321"/>
      <c r="U33" s="321"/>
      <c r="V33" s="359">
        <f>建卡!AD54</f>
        <v>10</v>
      </c>
      <c r="W33" s="359"/>
      <c r="X33" s="359"/>
      <c r="Y33" s="359"/>
      <c r="Z33" s="272" t="str">
        <f t="shared" si="13"/>
        <v>10% (5/2)</v>
      </c>
      <c r="AA33" s="272"/>
      <c r="AB33" s="272"/>
      <c r="AC33" s="369"/>
      <c r="AD33" s="30" t="s">
        <v>547</v>
      </c>
      <c r="AE33" s="321" t="str">
        <f>IF(ISBLANK(建卡!S75),"",建卡!S75)</f>
        <v/>
      </c>
      <c r="AF33" s="321"/>
      <c r="AG33" s="321"/>
      <c r="AH33" s="321"/>
      <c r="AI33" s="321"/>
      <c r="AJ33" s="359">
        <f>建卡!AD75</f>
        <v>0</v>
      </c>
      <c r="AK33" s="359"/>
      <c r="AL33" s="359"/>
      <c r="AM33" s="359"/>
      <c r="AN33" s="272" t="str">
        <f t="shared" si="11"/>
        <v>0% (0/0)</v>
      </c>
      <c r="AO33" s="272"/>
      <c r="AP33" s="272"/>
      <c r="AQ33" s="360"/>
    </row>
    <row r="34" spans="2:43" x14ac:dyDescent="0.2">
      <c r="B34" s="32" t="s">
        <v>420</v>
      </c>
      <c r="C34" s="366" t="str">
        <f>IF(ISBLANK(建卡!D66),建卡!B66,建卡!B66&amp;建卡!D66)</f>
        <v>格斗:斗殴</v>
      </c>
      <c r="D34" s="366"/>
      <c r="E34" s="366"/>
      <c r="F34" s="366"/>
      <c r="G34" s="366"/>
      <c r="H34" s="367">
        <f>建卡!M66</f>
        <v>25</v>
      </c>
      <c r="I34" s="367"/>
      <c r="J34" s="367"/>
      <c r="K34" s="367"/>
      <c r="L34" s="267" t="str">
        <f t="shared" si="9"/>
        <v>25% (12/5)</v>
      </c>
      <c r="M34" s="267"/>
      <c r="N34" s="267"/>
      <c r="O34" s="368"/>
      <c r="P34" s="28" t="s">
        <v>547</v>
      </c>
      <c r="Q34" s="366" t="str">
        <f>IF(ISBLANK(建卡!U55),建卡!S55,建卡!S55&amp;建卡!U55)</f>
        <v>领航</v>
      </c>
      <c r="R34" s="366"/>
      <c r="S34" s="366"/>
      <c r="T34" s="366"/>
      <c r="U34" s="366"/>
      <c r="V34" s="367">
        <f>建卡!AD55</f>
        <v>10</v>
      </c>
      <c r="W34" s="367"/>
      <c r="X34" s="367"/>
      <c r="Y34" s="367"/>
      <c r="Z34" s="267" t="str">
        <f t="shared" si="13"/>
        <v>10% (5/2)</v>
      </c>
      <c r="AA34" s="267"/>
      <c r="AB34" s="267"/>
      <c r="AC34" s="368"/>
      <c r="AD34" s="28" t="s">
        <v>547</v>
      </c>
      <c r="AE34" s="366" t="str">
        <f>IF(ISBLANK(建卡!S76),"",建卡!S76)</f>
        <v/>
      </c>
      <c r="AF34" s="366"/>
      <c r="AG34" s="366"/>
      <c r="AH34" s="366"/>
      <c r="AI34" s="366"/>
      <c r="AJ34" s="367">
        <f>建卡!AD76</f>
        <v>0</v>
      </c>
      <c r="AK34" s="367"/>
      <c r="AL34" s="367"/>
      <c r="AM34" s="367"/>
      <c r="AN34" s="267" t="str">
        <f t="shared" si="11"/>
        <v>0% (0/0)</v>
      </c>
      <c r="AO34" s="267"/>
      <c r="AP34" s="267"/>
      <c r="AQ34" s="358"/>
    </row>
    <row r="35" spans="2:43" x14ac:dyDescent="0.2">
      <c r="B35" s="33" t="s">
        <v>420</v>
      </c>
      <c r="C35" s="321" t="str">
        <f>IF(ISBLANK(建卡!D67),建卡!B67,建卡!B67&amp;建卡!D67)</f>
        <v>格斗:剑</v>
      </c>
      <c r="D35" s="321"/>
      <c r="E35" s="321"/>
      <c r="F35" s="321"/>
      <c r="G35" s="321"/>
      <c r="H35" s="359">
        <f>建卡!M67</f>
        <v>20</v>
      </c>
      <c r="I35" s="359"/>
      <c r="J35" s="359"/>
      <c r="K35" s="359"/>
      <c r="L35" s="272" t="str">
        <f t="shared" si="9"/>
        <v>20% (10/4)</v>
      </c>
      <c r="M35" s="272"/>
      <c r="N35" s="272"/>
      <c r="O35" s="369"/>
      <c r="P35" s="30" t="s">
        <v>547</v>
      </c>
      <c r="Q35" s="321" t="str">
        <f>IF(ISBLANK(建卡!U56),建卡!S56,建卡!S56&amp;建卡!U56)</f>
        <v>神秘学</v>
      </c>
      <c r="R35" s="321"/>
      <c r="S35" s="321"/>
      <c r="T35" s="321"/>
      <c r="U35" s="321"/>
      <c r="V35" s="359">
        <f>建卡!AD56</f>
        <v>5</v>
      </c>
      <c r="W35" s="359"/>
      <c r="X35" s="359"/>
      <c r="Y35" s="359"/>
      <c r="Z35" s="272" t="str">
        <f t="shared" si="13"/>
        <v>5% (2/1)</v>
      </c>
      <c r="AA35" s="272"/>
      <c r="AB35" s="272"/>
      <c r="AC35" s="369"/>
      <c r="AD35" s="30" t="s">
        <v>547</v>
      </c>
      <c r="AE35" s="321" t="str">
        <f>IF(ISBLANK(建卡!S77),"",建卡!S77)</f>
        <v/>
      </c>
      <c r="AF35" s="321"/>
      <c r="AG35" s="321"/>
      <c r="AH35" s="321"/>
      <c r="AI35" s="321"/>
      <c r="AJ35" s="359">
        <f>建卡!AD77</f>
        <v>0</v>
      </c>
      <c r="AK35" s="359"/>
      <c r="AL35" s="359"/>
      <c r="AM35" s="359"/>
      <c r="AN35" s="272" t="str">
        <f t="shared" si="11"/>
        <v>0% (0/0)</v>
      </c>
      <c r="AO35" s="272"/>
      <c r="AP35" s="272"/>
      <c r="AQ35" s="360"/>
    </row>
    <row r="36" spans="2:43" ht="17.25" thickBot="1" x14ac:dyDescent="0.25">
      <c r="B36" s="27" t="s">
        <v>420</v>
      </c>
      <c r="C36" s="361" t="str">
        <f>IF(ISBLANK(建卡!D68),建卡!B68,建卡!B68&amp;建卡!D68)</f>
        <v>格斗:</v>
      </c>
      <c r="D36" s="361"/>
      <c r="E36" s="361"/>
      <c r="F36" s="361"/>
      <c r="G36" s="361"/>
      <c r="H36" s="362">
        <f>建卡!M68</f>
        <v>0</v>
      </c>
      <c r="I36" s="362"/>
      <c r="J36" s="362"/>
      <c r="K36" s="362"/>
      <c r="L36" s="363" t="str">
        <f t="shared" si="9"/>
        <v>0% (0/0)</v>
      </c>
      <c r="M36" s="363"/>
      <c r="N36" s="363"/>
      <c r="O36" s="365"/>
      <c r="P36" s="29" t="s">
        <v>547</v>
      </c>
      <c r="Q36" s="361" t="str">
        <f>IF(ISBLANK(建卡!U57),建卡!S57,建卡!S57&amp;建卡!U57)</f>
        <v>操作重型机械</v>
      </c>
      <c r="R36" s="361"/>
      <c r="S36" s="361"/>
      <c r="T36" s="361"/>
      <c r="U36" s="361"/>
      <c r="V36" s="362">
        <f>建卡!AD57</f>
        <v>1</v>
      </c>
      <c r="W36" s="362"/>
      <c r="X36" s="362"/>
      <c r="Y36" s="362"/>
      <c r="Z36" s="363" t="str">
        <f t="shared" si="13"/>
        <v>1% (0/0)</v>
      </c>
      <c r="AA36" s="363"/>
      <c r="AB36" s="363"/>
      <c r="AC36" s="365"/>
      <c r="AD36" s="29" t="s">
        <v>547</v>
      </c>
      <c r="AE36" s="361" t="str">
        <f>IF(ISBLANK(建卡!S78),"",建卡!S78)</f>
        <v/>
      </c>
      <c r="AF36" s="361"/>
      <c r="AG36" s="361"/>
      <c r="AH36" s="361"/>
      <c r="AI36" s="361"/>
      <c r="AJ36" s="362">
        <f>建卡!AD78</f>
        <v>0</v>
      </c>
      <c r="AK36" s="362"/>
      <c r="AL36" s="362"/>
      <c r="AM36" s="362"/>
      <c r="AN36" s="363" t="str">
        <f t="shared" si="11"/>
        <v>0% (0/0)</v>
      </c>
      <c r="AO36" s="363"/>
      <c r="AP36" s="363"/>
      <c r="AQ36" s="364"/>
    </row>
    <row r="37" spans="2:43" ht="17.25" thickBot="1" x14ac:dyDescent="0.25">
      <c r="B37" s="51"/>
      <c r="P37" s="52"/>
      <c r="AD37" s="53"/>
      <c r="AE37" s="53"/>
      <c r="AF37" s="53"/>
      <c r="AG37" s="53"/>
      <c r="AH37" s="53"/>
      <c r="AI37" s="53"/>
      <c r="AJ37" s="53"/>
      <c r="AK37" s="53"/>
      <c r="AL37" s="53"/>
      <c r="AM37" s="54"/>
    </row>
    <row r="38" spans="2:43" x14ac:dyDescent="0.2">
      <c r="B38" s="219" t="s">
        <v>14</v>
      </c>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1"/>
      <c r="AJ38" s="153" t="s">
        <v>16</v>
      </c>
      <c r="AK38" s="154"/>
      <c r="AL38" s="154"/>
      <c r="AM38" s="154"/>
      <c r="AN38" s="154"/>
      <c r="AO38" s="154"/>
      <c r="AP38" s="154"/>
      <c r="AQ38" s="155"/>
    </row>
    <row r="39" spans="2:43" x14ac:dyDescent="0.2">
      <c r="B39" s="442" t="s">
        <v>14</v>
      </c>
      <c r="C39" s="443"/>
      <c r="D39" s="443"/>
      <c r="E39" s="443"/>
      <c r="F39" s="443"/>
      <c r="G39" s="443"/>
      <c r="H39" s="443"/>
      <c r="I39" s="443"/>
      <c r="J39" s="397"/>
      <c r="K39" s="391" t="s">
        <v>9</v>
      </c>
      <c r="L39" s="443"/>
      <c r="M39" s="443"/>
      <c r="N39" s="443"/>
      <c r="O39" s="443"/>
      <c r="P39" s="397"/>
      <c r="Q39" s="55" t="s">
        <v>418</v>
      </c>
      <c r="R39" s="443" t="s">
        <v>334</v>
      </c>
      <c r="S39" s="443"/>
      <c r="T39" s="443"/>
      <c r="U39" s="443"/>
      <c r="V39" s="443"/>
      <c r="W39" s="397"/>
      <c r="X39" s="465" t="s">
        <v>333</v>
      </c>
      <c r="Y39" s="466"/>
      <c r="Z39" s="466"/>
      <c r="AA39" s="467"/>
      <c r="AB39" s="465" t="s">
        <v>332</v>
      </c>
      <c r="AC39" s="466"/>
      <c r="AD39" s="467"/>
      <c r="AE39" s="391" t="s">
        <v>414</v>
      </c>
      <c r="AF39" s="397"/>
      <c r="AG39" s="391" t="s">
        <v>15</v>
      </c>
      <c r="AH39" s="392"/>
      <c r="AJ39" s="382" t="s">
        <v>349</v>
      </c>
      <c r="AK39" s="383"/>
      <c r="AL39" s="383"/>
      <c r="AM39" s="383"/>
      <c r="AN39" s="380" t="str">
        <f>建卡!R34</f>
        <v>错误</v>
      </c>
      <c r="AO39" s="380"/>
      <c r="AP39" s="380"/>
      <c r="AQ39" s="381"/>
    </row>
    <row r="40" spans="2:43" x14ac:dyDescent="0.2">
      <c r="B40" s="462" t="s">
        <v>449</v>
      </c>
      <c r="C40" s="463"/>
      <c r="D40" s="463"/>
      <c r="E40" s="463"/>
      <c r="F40" s="463"/>
      <c r="G40" s="463"/>
      <c r="H40" s="463"/>
      <c r="I40" s="463"/>
      <c r="J40" s="464"/>
      <c r="K40" s="468">
        <f>SUM(H34:K34)</f>
        <v>25</v>
      </c>
      <c r="L40" s="469"/>
      <c r="M40" s="468">
        <f>INT(K40/2)</f>
        <v>12</v>
      </c>
      <c r="N40" s="469"/>
      <c r="O40" s="468">
        <f>INT(K40/5)</f>
        <v>5</v>
      </c>
      <c r="P40" s="469"/>
      <c r="Q40" s="56" t="s">
        <v>458</v>
      </c>
      <c r="R40" s="376" t="s">
        <v>343</v>
      </c>
      <c r="S40" s="376"/>
      <c r="T40" s="376"/>
      <c r="U40" s="376"/>
      <c r="V40" s="376"/>
      <c r="W40" s="377"/>
      <c r="X40" s="444" t="s">
        <v>34</v>
      </c>
      <c r="Y40" s="445"/>
      <c r="Z40" s="445"/>
      <c r="AA40" s="446"/>
      <c r="AB40" s="444">
        <v>1</v>
      </c>
      <c r="AC40" s="445"/>
      <c r="AD40" s="446"/>
      <c r="AE40" s="376" t="s">
        <v>34</v>
      </c>
      <c r="AF40" s="377"/>
      <c r="AG40" s="372" t="s">
        <v>34</v>
      </c>
      <c r="AH40" s="373"/>
      <c r="AJ40" s="382"/>
      <c r="AK40" s="383"/>
      <c r="AL40" s="383"/>
      <c r="AM40" s="383"/>
      <c r="AN40" s="380"/>
      <c r="AO40" s="380"/>
      <c r="AP40" s="380"/>
      <c r="AQ40" s="381"/>
    </row>
    <row r="41" spans="2:43" x14ac:dyDescent="0.2">
      <c r="B41" s="549"/>
      <c r="C41" s="378"/>
      <c r="D41" s="378"/>
      <c r="E41" s="378"/>
      <c r="F41" s="378"/>
      <c r="G41" s="378"/>
      <c r="H41" s="378"/>
      <c r="I41" s="378"/>
      <c r="J41" s="379"/>
      <c r="K41" s="550"/>
      <c r="L41" s="551"/>
      <c r="M41" s="552">
        <f t="shared" ref="M41:M44" si="14">INT(K41/2)</f>
        <v>0</v>
      </c>
      <c r="N41" s="553"/>
      <c r="O41" s="552">
        <f t="shared" ref="O41:O44" si="15">INT(K41/5)</f>
        <v>0</v>
      </c>
      <c r="P41" s="553"/>
      <c r="Q41" s="100"/>
      <c r="R41" s="378"/>
      <c r="S41" s="378"/>
      <c r="T41" s="378"/>
      <c r="U41" s="378"/>
      <c r="V41" s="378"/>
      <c r="W41" s="379"/>
      <c r="X41" s="374"/>
      <c r="Y41" s="378"/>
      <c r="Z41" s="378"/>
      <c r="AA41" s="379"/>
      <c r="AB41" s="374"/>
      <c r="AC41" s="378"/>
      <c r="AD41" s="379"/>
      <c r="AE41" s="378"/>
      <c r="AF41" s="379"/>
      <c r="AG41" s="374"/>
      <c r="AH41" s="375"/>
      <c r="AJ41" s="156" t="s">
        <v>350</v>
      </c>
      <c r="AK41" s="157"/>
      <c r="AL41" s="157"/>
      <c r="AM41" s="157"/>
      <c r="AN41" s="234" t="str">
        <f>建卡!U34</f>
        <v>错误</v>
      </c>
      <c r="AO41" s="234"/>
      <c r="AP41" s="234"/>
      <c r="AQ41" s="386"/>
    </row>
    <row r="42" spans="2:43" x14ac:dyDescent="0.2">
      <c r="B42" s="462"/>
      <c r="C42" s="463"/>
      <c r="D42" s="463"/>
      <c r="E42" s="463"/>
      <c r="F42" s="463"/>
      <c r="G42" s="463"/>
      <c r="H42" s="463"/>
      <c r="I42" s="463"/>
      <c r="J42" s="464"/>
      <c r="K42" s="470"/>
      <c r="L42" s="471"/>
      <c r="M42" s="468">
        <f t="shared" si="14"/>
        <v>0</v>
      </c>
      <c r="N42" s="469"/>
      <c r="O42" s="468">
        <f t="shared" si="15"/>
        <v>0</v>
      </c>
      <c r="P42" s="469"/>
      <c r="Q42" s="59"/>
      <c r="R42" s="463"/>
      <c r="S42" s="463"/>
      <c r="T42" s="463"/>
      <c r="U42" s="463"/>
      <c r="V42" s="463"/>
      <c r="W42" s="464"/>
      <c r="X42" s="546"/>
      <c r="Y42" s="547"/>
      <c r="Z42" s="547"/>
      <c r="AA42" s="548"/>
      <c r="AB42" s="546"/>
      <c r="AC42" s="547"/>
      <c r="AD42" s="548"/>
      <c r="AE42" s="463"/>
      <c r="AF42" s="464"/>
      <c r="AG42" s="393"/>
      <c r="AH42" s="394"/>
      <c r="AJ42" s="156"/>
      <c r="AK42" s="157"/>
      <c r="AL42" s="157"/>
      <c r="AM42" s="157"/>
      <c r="AN42" s="234"/>
      <c r="AO42" s="234"/>
      <c r="AP42" s="234"/>
      <c r="AQ42" s="386"/>
    </row>
    <row r="43" spans="2:43" x14ac:dyDescent="0.2">
      <c r="B43" s="549"/>
      <c r="C43" s="378"/>
      <c r="D43" s="378"/>
      <c r="E43" s="378"/>
      <c r="F43" s="378"/>
      <c r="G43" s="378"/>
      <c r="H43" s="378"/>
      <c r="I43" s="378"/>
      <c r="J43" s="379"/>
      <c r="K43" s="550"/>
      <c r="L43" s="551"/>
      <c r="M43" s="552">
        <f t="shared" si="14"/>
        <v>0</v>
      </c>
      <c r="N43" s="553"/>
      <c r="O43" s="552">
        <f t="shared" si="15"/>
        <v>0</v>
      </c>
      <c r="P43" s="553"/>
      <c r="Q43" s="99"/>
      <c r="R43" s="378"/>
      <c r="S43" s="378"/>
      <c r="T43" s="378"/>
      <c r="U43" s="378"/>
      <c r="V43" s="378"/>
      <c r="W43" s="379"/>
      <c r="X43" s="374"/>
      <c r="Y43" s="378"/>
      <c r="Z43" s="378"/>
      <c r="AA43" s="379"/>
      <c r="AB43" s="374"/>
      <c r="AC43" s="378"/>
      <c r="AD43" s="379"/>
      <c r="AE43" s="378"/>
      <c r="AF43" s="379"/>
      <c r="AG43" s="374"/>
      <c r="AH43" s="375"/>
      <c r="AJ43" s="382" t="s">
        <v>415</v>
      </c>
      <c r="AK43" s="383"/>
      <c r="AL43" s="383"/>
      <c r="AM43" s="383"/>
      <c r="AN43" s="387">
        <f>SUM(H29:K29)</f>
        <v>0</v>
      </c>
      <c r="AO43" s="380"/>
      <c r="AP43" s="387">
        <f>INT(AN43/2)</f>
        <v>0</v>
      </c>
      <c r="AQ43" s="381"/>
    </row>
    <row r="44" spans="2:43" ht="17.25" thickBot="1" x14ac:dyDescent="0.25">
      <c r="B44" s="564"/>
      <c r="C44" s="395"/>
      <c r="D44" s="395"/>
      <c r="E44" s="395"/>
      <c r="F44" s="395"/>
      <c r="G44" s="395"/>
      <c r="H44" s="395"/>
      <c r="I44" s="395"/>
      <c r="J44" s="396"/>
      <c r="K44" s="565"/>
      <c r="L44" s="566"/>
      <c r="M44" s="554">
        <f t="shared" si="14"/>
        <v>0</v>
      </c>
      <c r="N44" s="555"/>
      <c r="O44" s="554">
        <f t="shared" si="15"/>
        <v>0</v>
      </c>
      <c r="P44" s="555"/>
      <c r="Q44" s="60"/>
      <c r="R44" s="395"/>
      <c r="S44" s="395"/>
      <c r="T44" s="395"/>
      <c r="U44" s="395"/>
      <c r="V44" s="395"/>
      <c r="W44" s="396"/>
      <c r="X44" s="456"/>
      <c r="Y44" s="457"/>
      <c r="Z44" s="457"/>
      <c r="AA44" s="458"/>
      <c r="AB44" s="456"/>
      <c r="AC44" s="457"/>
      <c r="AD44" s="458"/>
      <c r="AE44" s="395"/>
      <c r="AF44" s="396"/>
      <c r="AG44" s="570"/>
      <c r="AH44" s="571"/>
      <c r="AJ44" s="384"/>
      <c r="AK44" s="385"/>
      <c r="AL44" s="385"/>
      <c r="AM44" s="385"/>
      <c r="AN44" s="388"/>
      <c r="AO44" s="388"/>
      <c r="AP44" s="389">
        <f>INT(AN43/5)</f>
        <v>0</v>
      </c>
      <c r="AQ44" s="390"/>
    </row>
    <row r="45" spans="2:43" x14ac:dyDescent="0.2">
      <c r="B45" s="57" t="s">
        <v>450</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7.25" thickBot="1" x14ac:dyDescent="0.25"/>
    <row r="47" spans="2:43" x14ac:dyDescent="0.2">
      <c r="B47" s="153" t="s">
        <v>35</v>
      </c>
      <c r="C47" s="154"/>
      <c r="D47" s="154"/>
      <c r="E47" s="154"/>
      <c r="F47" s="154"/>
      <c r="G47" s="154"/>
      <c r="H47" s="154"/>
      <c r="I47" s="154"/>
      <c r="J47" s="154"/>
      <c r="K47" s="154"/>
      <c r="L47" s="154"/>
      <c r="M47" s="154"/>
      <c r="N47" s="154"/>
      <c r="O47" s="154"/>
      <c r="P47" s="154"/>
      <c r="Q47" s="155"/>
      <c r="S47" s="219" t="s">
        <v>36</v>
      </c>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1"/>
    </row>
    <row r="48" spans="2:43" x14ac:dyDescent="0.2">
      <c r="B48" s="356" t="str">
        <f>"   信用评级："&amp;L26</f>
        <v xml:space="preserve">   信用评级：0% (0/0)</v>
      </c>
      <c r="C48" s="354"/>
      <c r="D48" s="354"/>
      <c r="E48" s="354"/>
      <c r="F48" s="354"/>
      <c r="G48" s="354"/>
      <c r="H48" s="354"/>
      <c r="I48" s="354"/>
      <c r="J48" s="357"/>
      <c r="K48" s="354" t="str">
        <f>"    生活水平："&amp;LOOKUP(CR,{0,1,10,50,90,99},{"身无分文","贫穷","标准","小康","富裕","富豪"})</f>
        <v xml:space="preserve">    生活水平：身无分文</v>
      </c>
      <c r="L48" s="354"/>
      <c r="M48" s="354"/>
      <c r="N48" s="354"/>
      <c r="O48" s="354"/>
      <c r="P48" s="354"/>
      <c r="Q48" s="355"/>
      <c r="S48" s="422" t="s">
        <v>543</v>
      </c>
      <c r="T48" s="236"/>
      <c r="U48" s="236"/>
      <c r="V48" s="236"/>
      <c r="W48" s="577"/>
      <c r="X48" s="578"/>
      <c r="Y48" s="578"/>
      <c r="Z48" s="578"/>
      <c r="AA48" s="578"/>
      <c r="AB48" s="578"/>
      <c r="AC48" s="578"/>
      <c r="AD48" s="578"/>
      <c r="AE48" s="578"/>
      <c r="AF48" s="578"/>
      <c r="AG48" s="578"/>
      <c r="AH48" s="578"/>
      <c r="AI48" s="578"/>
      <c r="AJ48" s="578"/>
      <c r="AK48" s="578"/>
      <c r="AL48" s="578"/>
      <c r="AM48" s="578"/>
      <c r="AN48" s="578"/>
      <c r="AO48" s="578"/>
      <c r="AP48" s="578"/>
      <c r="AQ48" s="579"/>
    </row>
    <row r="49" spans="2:43" x14ac:dyDescent="0.2">
      <c r="B49" s="543" t="s">
        <v>603</v>
      </c>
      <c r="C49" s="544"/>
      <c r="D49" s="561"/>
      <c r="E49" s="561"/>
      <c r="F49" s="561"/>
      <c r="G49" s="561"/>
      <c r="H49" s="561"/>
      <c r="I49" s="561"/>
      <c r="J49" s="563"/>
      <c r="K49" s="544" t="s">
        <v>602</v>
      </c>
      <c r="L49" s="545"/>
      <c r="M49" s="545"/>
      <c r="N49" s="561"/>
      <c r="O49" s="561"/>
      <c r="P49" s="561"/>
      <c r="Q49" s="562"/>
      <c r="S49" s="422"/>
      <c r="T49" s="236"/>
      <c r="U49" s="236"/>
      <c r="V49" s="236"/>
      <c r="W49" s="580"/>
      <c r="X49" s="581"/>
      <c r="Y49" s="581"/>
      <c r="Z49" s="581"/>
      <c r="AA49" s="581"/>
      <c r="AB49" s="581"/>
      <c r="AC49" s="581"/>
      <c r="AD49" s="581"/>
      <c r="AE49" s="581"/>
      <c r="AF49" s="581"/>
      <c r="AG49" s="581"/>
      <c r="AH49" s="581"/>
      <c r="AI49" s="581"/>
      <c r="AJ49" s="581"/>
      <c r="AK49" s="581"/>
      <c r="AL49" s="581"/>
      <c r="AM49" s="581"/>
      <c r="AN49" s="581"/>
      <c r="AO49" s="581"/>
      <c r="AP49" s="581"/>
      <c r="AQ49" s="582"/>
    </row>
    <row r="50" spans="2:43" x14ac:dyDescent="0.2">
      <c r="B50" s="534"/>
      <c r="C50" s="535"/>
      <c r="D50" s="535"/>
      <c r="E50" s="535"/>
      <c r="F50" s="535"/>
      <c r="G50" s="535"/>
      <c r="H50" s="535"/>
      <c r="I50" s="535"/>
      <c r="J50" s="535"/>
      <c r="K50" s="535"/>
      <c r="L50" s="535"/>
      <c r="M50" s="535"/>
      <c r="N50" s="535"/>
      <c r="O50" s="535"/>
      <c r="P50" s="535"/>
      <c r="Q50" s="536"/>
      <c r="S50" s="461" t="s">
        <v>352</v>
      </c>
      <c r="T50" s="234"/>
      <c r="U50" s="234"/>
      <c r="V50" s="234"/>
      <c r="W50" s="583"/>
      <c r="X50" s="584"/>
      <c r="Y50" s="584"/>
      <c r="Z50" s="584"/>
      <c r="AA50" s="584"/>
      <c r="AB50" s="584"/>
      <c r="AC50" s="584"/>
      <c r="AD50" s="584"/>
      <c r="AE50" s="584"/>
      <c r="AF50" s="584"/>
      <c r="AG50" s="584"/>
      <c r="AH50" s="584"/>
      <c r="AI50" s="584"/>
      <c r="AJ50" s="584"/>
      <c r="AK50" s="584"/>
      <c r="AL50" s="584"/>
      <c r="AM50" s="584"/>
      <c r="AN50" s="584"/>
      <c r="AO50" s="584"/>
      <c r="AP50" s="584"/>
      <c r="AQ50" s="585"/>
    </row>
    <row r="51" spans="2:43" x14ac:dyDescent="0.2">
      <c r="B51" s="537"/>
      <c r="C51" s="538"/>
      <c r="D51" s="538"/>
      <c r="E51" s="538"/>
      <c r="F51" s="538"/>
      <c r="G51" s="538"/>
      <c r="H51" s="538"/>
      <c r="I51" s="538"/>
      <c r="J51" s="538"/>
      <c r="K51" s="538"/>
      <c r="L51" s="538"/>
      <c r="M51" s="538"/>
      <c r="N51" s="538"/>
      <c r="O51" s="538"/>
      <c r="P51" s="538"/>
      <c r="Q51" s="539"/>
      <c r="S51" s="461"/>
      <c r="T51" s="234"/>
      <c r="U51" s="234"/>
      <c r="V51" s="234"/>
      <c r="W51" s="586"/>
      <c r="X51" s="587"/>
      <c r="Y51" s="587"/>
      <c r="Z51" s="587"/>
      <c r="AA51" s="587"/>
      <c r="AB51" s="587"/>
      <c r="AC51" s="587"/>
      <c r="AD51" s="587"/>
      <c r="AE51" s="587"/>
      <c r="AF51" s="587"/>
      <c r="AG51" s="587"/>
      <c r="AH51" s="587"/>
      <c r="AI51" s="587"/>
      <c r="AJ51" s="587"/>
      <c r="AK51" s="587"/>
      <c r="AL51" s="587"/>
      <c r="AM51" s="587"/>
      <c r="AN51" s="587"/>
      <c r="AO51" s="587"/>
      <c r="AP51" s="587"/>
      <c r="AQ51" s="588"/>
    </row>
    <row r="52" spans="2:43" x14ac:dyDescent="0.2">
      <c r="B52" s="537"/>
      <c r="C52" s="538"/>
      <c r="D52" s="538"/>
      <c r="E52" s="538"/>
      <c r="F52" s="538"/>
      <c r="G52" s="538"/>
      <c r="H52" s="538"/>
      <c r="I52" s="538"/>
      <c r="J52" s="538"/>
      <c r="K52" s="538"/>
      <c r="L52" s="538"/>
      <c r="M52" s="538"/>
      <c r="N52" s="538"/>
      <c r="O52" s="538"/>
      <c r="P52" s="538"/>
      <c r="Q52" s="539"/>
      <c r="S52" s="422" t="s">
        <v>353</v>
      </c>
      <c r="T52" s="236"/>
      <c r="U52" s="236"/>
      <c r="V52" s="236"/>
      <c r="W52" s="577"/>
      <c r="X52" s="578"/>
      <c r="Y52" s="578"/>
      <c r="Z52" s="578"/>
      <c r="AA52" s="578"/>
      <c r="AB52" s="578"/>
      <c r="AC52" s="578"/>
      <c r="AD52" s="578"/>
      <c r="AE52" s="578"/>
      <c r="AF52" s="578"/>
      <c r="AG52" s="578"/>
      <c r="AH52" s="578"/>
      <c r="AI52" s="578"/>
      <c r="AJ52" s="578"/>
      <c r="AK52" s="578"/>
      <c r="AL52" s="578"/>
      <c r="AM52" s="578"/>
      <c r="AN52" s="578"/>
      <c r="AO52" s="578"/>
      <c r="AP52" s="578"/>
      <c r="AQ52" s="579"/>
    </row>
    <row r="53" spans="2:43" ht="17.25" thickBot="1" x14ac:dyDescent="0.25">
      <c r="B53" s="540"/>
      <c r="C53" s="541"/>
      <c r="D53" s="541"/>
      <c r="E53" s="541"/>
      <c r="F53" s="541"/>
      <c r="G53" s="541"/>
      <c r="H53" s="541"/>
      <c r="I53" s="541"/>
      <c r="J53" s="541"/>
      <c r="K53" s="541"/>
      <c r="L53" s="541"/>
      <c r="M53" s="541"/>
      <c r="N53" s="541"/>
      <c r="O53" s="541"/>
      <c r="P53" s="541"/>
      <c r="Q53" s="542"/>
      <c r="S53" s="422"/>
      <c r="T53" s="236"/>
      <c r="U53" s="236"/>
      <c r="V53" s="236"/>
      <c r="W53" s="580"/>
      <c r="X53" s="581"/>
      <c r="Y53" s="581"/>
      <c r="Z53" s="581"/>
      <c r="AA53" s="581"/>
      <c r="AB53" s="581"/>
      <c r="AC53" s="581"/>
      <c r="AD53" s="581"/>
      <c r="AE53" s="581"/>
      <c r="AF53" s="581"/>
      <c r="AG53" s="581"/>
      <c r="AH53" s="581"/>
      <c r="AI53" s="581"/>
      <c r="AJ53" s="581"/>
      <c r="AK53" s="581"/>
      <c r="AL53" s="581"/>
      <c r="AM53" s="581"/>
      <c r="AN53" s="581"/>
      <c r="AO53" s="581"/>
      <c r="AP53" s="581"/>
      <c r="AQ53" s="582"/>
    </row>
    <row r="54" spans="2:43" ht="17.25" thickBot="1" x14ac:dyDescent="0.25">
      <c r="B54" s="44"/>
      <c r="C54" s="44"/>
      <c r="D54" s="44"/>
      <c r="E54" s="44"/>
      <c r="F54" s="44"/>
      <c r="G54" s="44"/>
      <c r="H54" s="44"/>
      <c r="I54" s="44"/>
      <c r="J54" s="44"/>
      <c r="K54" s="44"/>
      <c r="L54" s="44"/>
      <c r="M54" s="44"/>
      <c r="N54" s="44"/>
      <c r="O54" s="44"/>
      <c r="P54" s="44"/>
      <c r="Q54" s="44"/>
      <c r="S54" s="461" t="s">
        <v>336</v>
      </c>
      <c r="T54" s="234"/>
      <c r="U54" s="234"/>
      <c r="V54" s="234"/>
      <c r="W54" s="583"/>
      <c r="X54" s="584"/>
      <c r="Y54" s="584"/>
      <c r="Z54" s="584"/>
      <c r="AA54" s="584"/>
      <c r="AB54" s="584"/>
      <c r="AC54" s="584"/>
      <c r="AD54" s="584"/>
      <c r="AE54" s="584"/>
      <c r="AF54" s="584"/>
      <c r="AG54" s="584"/>
      <c r="AH54" s="584"/>
      <c r="AI54" s="584"/>
      <c r="AJ54" s="584"/>
      <c r="AK54" s="584"/>
      <c r="AL54" s="584"/>
      <c r="AM54" s="584"/>
      <c r="AN54" s="584"/>
      <c r="AO54" s="584"/>
      <c r="AP54" s="584"/>
      <c r="AQ54" s="585"/>
    </row>
    <row r="55" spans="2:43" x14ac:dyDescent="0.2">
      <c r="B55" s="413" t="s">
        <v>706</v>
      </c>
      <c r="C55" s="414"/>
      <c r="D55" s="414"/>
      <c r="E55" s="414"/>
      <c r="F55" s="414"/>
      <c r="G55" s="414"/>
      <c r="H55" s="414"/>
      <c r="I55" s="414"/>
      <c r="J55" s="414"/>
      <c r="K55" s="414"/>
      <c r="L55" s="414"/>
      <c r="M55" s="414"/>
      <c r="N55" s="414"/>
      <c r="O55" s="414"/>
      <c r="P55" s="414"/>
      <c r="Q55" s="415"/>
      <c r="S55" s="461"/>
      <c r="T55" s="234"/>
      <c r="U55" s="234"/>
      <c r="V55" s="234"/>
      <c r="W55" s="586"/>
      <c r="X55" s="587"/>
      <c r="Y55" s="587"/>
      <c r="Z55" s="587"/>
      <c r="AA55" s="587"/>
      <c r="AB55" s="587"/>
      <c r="AC55" s="587"/>
      <c r="AD55" s="587"/>
      <c r="AE55" s="587"/>
      <c r="AF55" s="587"/>
      <c r="AG55" s="587"/>
      <c r="AH55" s="587"/>
      <c r="AI55" s="587"/>
      <c r="AJ55" s="587"/>
      <c r="AK55" s="587"/>
      <c r="AL55" s="587"/>
      <c r="AM55" s="587"/>
      <c r="AN55" s="587"/>
      <c r="AO55" s="587"/>
      <c r="AP55" s="587"/>
      <c r="AQ55" s="588"/>
    </row>
    <row r="56" spans="2:43" x14ac:dyDescent="0.2">
      <c r="B56" s="567"/>
      <c r="C56" s="568"/>
      <c r="D56" s="568"/>
      <c r="E56" s="568"/>
      <c r="F56" s="568"/>
      <c r="G56" s="568"/>
      <c r="H56" s="568"/>
      <c r="I56" s="568"/>
      <c r="J56" s="568"/>
      <c r="K56" s="568"/>
      <c r="L56" s="568"/>
      <c r="M56" s="568"/>
      <c r="N56" s="568"/>
      <c r="O56" s="568"/>
      <c r="P56" s="568"/>
      <c r="Q56" s="569"/>
      <c r="S56" s="422" t="s">
        <v>351</v>
      </c>
      <c r="T56" s="236"/>
      <c r="U56" s="236"/>
      <c r="V56" s="236"/>
      <c r="W56" s="577"/>
      <c r="X56" s="578"/>
      <c r="Y56" s="578"/>
      <c r="Z56" s="578"/>
      <c r="AA56" s="578"/>
      <c r="AB56" s="578"/>
      <c r="AC56" s="578"/>
      <c r="AD56" s="578"/>
      <c r="AE56" s="578"/>
      <c r="AF56" s="578"/>
      <c r="AG56" s="578"/>
      <c r="AH56" s="578"/>
      <c r="AI56" s="578"/>
      <c r="AJ56" s="578"/>
      <c r="AK56" s="578"/>
      <c r="AL56" s="578"/>
      <c r="AM56" s="578"/>
      <c r="AN56" s="578"/>
      <c r="AO56" s="578"/>
      <c r="AP56" s="578"/>
      <c r="AQ56" s="579"/>
    </row>
    <row r="57" spans="2:43" x14ac:dyDescent="0.2">
      <c r="B57" s="556"/>
      <c r="C57" s="557"/>
      <c r="D57" s="557"/>
      <c r="E57" s="557"/>
      <c r="F57" s="557"/>
      <c r="G57" s="557"/>
      <c r="H57" s="557"/>
      <c r="I57" s="557"/>
      <c r="J57" s="557"/>
      <c r="K57" s="557"/>
      <c r="L57" s="557"/>
      <c r="M57" s="557"/>
      <c r="N57" s="557"/>
      <c r="O57" s="557"/>
      <c r="P57" s="557"/>
      <c r="Q57" s="558"/>
      <c r="S57" s="422"/>
      <c r="T57" s="236"/>
      <c r="U57" s="236"/>
      <c r="V57" s="236"/>
      <c r="W57" s="580"/>
      <c r="X57" s="581"/>
      <c r="Y57" s="581"/>
      <c r="Z57" s="581"/>
      <c r="AA57" s="581"/>
      <c r="AB57" s="581"/>
      <c r="AC57" s="581"/>
      <c r="AD57" s="581"/>
      <c r="AE57" s="581"/>
      <c r="AF57" s="581"/>
      <c r="AG57" s="581"/>
      <c r="AH57" s="581"/>
      <c r="AI57" s="581"/>
      <c r="AJ57" s="581"/>
      <c r="AK57" s="581"/>
      <c r="AL57" s="581"/>
      <c r="AM57" s="581"/>
      <c r="AN57" s="581"/>
      <c r="AO57" s="581"/>
      <c r="AP57" s="581"/>
      <c r="AQ57" s="582"/>
    </row>
    <row r="58" spans="2:43" x14ac:dyDescent="0.2">
      <c r="B58" s="567"/>
      <c r="C58" s="568"/>
      <c r="D58" s="568"/>
      <c r="E58" s="568"/>
      <c r="F58" s="568"/>
      <c r="G58" s="568"/>
      <c r="H58" s="568"/>
      <c r="I58" s="568"/>
      <c r="J58" s="568"/>
      <c r="K58" s="568"/>
      <c r="L58" s="568"/>
      <c r="M58" s="568"/>
      <c r="N58" s="568"/>
      <c r="O58" s="568"/>
      <c r="P58" s="568"/>
      <c r="Q58" s="569"/>
      <c r="S58" s="461" t="s">
        <v>354</v>
      </c>
      <c r="T58" s="234"/>
      <c r="U58" s="234"/>
      <c r="V58" s="234"/>
      <c r="W58" s="583"/>
      <c r="X58" s="584"/>
      <c r="Y58" s="584"/>
      <c r="Z58" s="584"/>
      <c r="AA58" s="584"/>
      <c r="AB58" s="584"/>
      <c r="AC58" s="584"/>
      <c r="AD58" s="584"/>
      <c r="AE58" s="584"/>
      <c r="AF58" s="584"/>
      <c r="AG58" s="584"/>
      <c r="AH58" s="584"/>
      <c r="AI58" s="584"/>
      <c r="AJ58" s="584"/>
      <c r="AK58" s="584"/>
      <c r="AL58" s="584"/>
      <c r="AM58" s="584"/>
      <c r="AN58" s="584"/>
      <c r="AO58" s="584"/>
      <c r="AP58" s="584"/>
      <c r="AQ58" s="585"/>
    </row>
    <row r="59" spans="2:43" x14ac:dyDescent="0.2">
      <c r="B59" s="556"/>
      <c r="C59" s="557"/>
      <c r="D59" s="557"/>
      <c r="E59" s="557"/>
      <c r="F59" s="557"/>
      <c r="G59" s="557"/>
      <c r="H59" s="557"/>
      <c r="I59" s="557"/>
      <c r="J59" s="557"/>
      <c r="K59" s="557"/>
      <c r="L59" s="557"/>
      <c r="M59" s="557"/>
      <c r="N59" s="557"/>
      <c r="O59" s="557"/>
      <c r="P59" s="557"/>
      <c r="Q59" s="558"/>
      <c r="S59" s="461"/>
      <c r="T59" s="234"/>
      <c r="U59" s="234"/>
      <c r="V59" s="234"/>
      <c r="W59" s="586"/>
      <c r="X59" s="587"/>
      <c r="Y59" s="587"/>
      <c r="Z59" s="587"/>
      <c r="AA59" s="587"/>
      <c r="AB59" s="587"/>
      <c r="AC59" s="587"/>
      <c r="AD59" s="587"/>
      <c r="AE59" s="587"/>
      <c r="AF59" s="587"/>
      <c r="AG59" s="587"/>
      <c r="AH59" s="587"/>
      <c r="AI59" s="587"/>
      <c r="AJ59" s="587"/>
      <c r="AK59" s="587"/>
      <c r="AL59" s="587"/>
      <c r="AM59" s="587"/>
      <c r="AN59" s="587"/>
      <c r="AO59" s="587"/>
      <c r="AP59" s="587"/>
      <c r="AQ59" s="588"/>
    </row>
    <row r="60" spans="2:43" x14ac:dyDescent="0.2">
      <c r="B60" s="567"/>
      <c r="C60" s="568"/>
      <c r="D60" s="568"/>
      <c r="E60" s="568"/>
      <c r="F60" s="568"/>
      <c r="G60" s="568"/>
      <c r="H60" s="568"/>
      <c r="I60" s="568"/>
      <c r="J60" s="568"/>
      <c r="K60" s="568"/>
      <c r="L60" s="568"/>
      <c r="M60" s="568"/>
      <c r="N60" s="568"/>
      <c r="O60" s="568"/>
      <c r="P60" s="568"/>
      <c r="Q60" s="569"/>
      <c r="S60" s="422" t="s">
        <v>337</v>
      </c>
      <c r="T60" s="236"/>
      <c r="U60" s="236"/>
      <c r="V60" s="236"/>
      <c r="W60" s="577"/>
      <c r="X60" s="578"/>
      <c r="Y60" s="578"/>
      <c r="Z60" s="578"/>
      <c r="AA60" s="578"/>
      <c r="AB60" s="578"/>
      <c r="AC60" s="578"/>
      <c r="AD60" s="578"/>
      <c r="AE60" s="578"/>
      <c r="AF60" s="578"/>
      <c r="AG60" s="578"/>
      <c r="AH60" s="578"/>
      <c r="AI60" s="578"/>
      <c r="AJ60" s="578"/>
      <c r="AK60" s="578"/>
      <c r="AL60" s="578"/>
      <c r="AM60" s="578"/>
      <c r="AN60" s="578"/>
      <c r="AO60" s="578"/>
      <c r="AP60" s="578"/>
      <c r="AQ60" s="579"/>
    </row>
    <row r="61" spans="2:43" x14ac:dyDescent="0.2">
      <c r="B61" s="556"/>
      <c r="C61" s="557"/>
      <c r="D61" s="557"/>
      <c r="E61" s="557"/>
      <c r="F61" s="557"/>
      <c r="G61" s="557"/>
      <c r="H61" s="557"/>
      <c r="I61" s="557"/>
      <c r="J61" s="557"/>
      <c r="K61" s="557"/>
      <c r="L61" s="557"/>
      <c r="M61" s="557"/>
      <c r="N61" s="557"/>
      <c r="O61" s="557"/>
      <c r="P61" s="557"/>
      <c r="Q61" s="558"/>
      <c r="S61" s="422"/>
      <c r="T61" s="236"/>
      <c r="U61" s="236"/>
      <c r="V61" s="236"/>
      <c r="W61" s="580"/>
      <c r="X61" s="581"/>
      <c r="Y61" s="581"/>
      <c r="Z61" s="581"/>
      <c r="AA61" s="581"/>
      <c r="AB61" s="581"/>
      <c r="AC61" s="581"/>
      <c r="AD61" s="581"/>
      <c r="AE61" s="581"/>
      <c r="AF61" s="581"/>
      <c r="AG61" s="581"/>
      <c r="AH61" s="581"/>
      <c r="AI61" s="581"/>
      <c r="AJ61" s="581"/>
      <c r="AK61" s="581"/>
      <c r="AL61" s="581"/>
      <c r="AM61" s="581"/>
      <c r="AN61" s="581"/>
      <c r="AO61" s="581"/>
      <c r="AP61" s="581"/>
      <c r="AQ61" s="582"/>
    </row>
    <row r="62" spans="2:43" x14ac:dyDescent="0.2">
      <c r="B62" s="567"/>
      <c r="C62" s="568"/>
      <c r="D62" s="568"/>
      <c r="E62" s="568"/>
      <c r="F62" s="568"/>
      <c r="G62" s="568"/>
      <c r="H62" s="568"/>
      <c r="I62" s="568"/>
      <c r="J62" s="568"/>
      <c r="K62" s="568"/>
      <c r="L62" s="568"/>
      <c r="M62" s="568"/>
      <c r="N62" s="568"/>
      <c r="O62" s="568"/>
      <c r="P62" s="568"/>
      <c r="Q62" s="569"/>
      <c r="S62" s="461" t="s">
        <v>338</v>
      </c>
      <c r="T62" s="234"/>
      <c r="U62" s="234"/>
      <c r="V62" s="234"/>
      <c r="W62" s="583"/>
      <c r="X62" s="584"/>
      <c r="Y62" s="584"/>
      <c r="Z62" s="584"/>
      <c r="AA62" s="584"/>
      <c r="AB62" s="584"/>
      <c r="AC62" s="584"/>
      <c r="AD62" s="584"/>
      <c r="AE62" s="584"/>
      <c r="AF62" s="584"/>
      <c r="AG62" s="584"/>
      <c r="AH62" s="584"/>
      <c r="AI62" s="584"/>
      <c r="AJ62" s="584"/>
      <c r="AK62" s="584"/>
      <c r="AL62" s="584"/>
      <c r="AM62" s="584"/>
      <c r="AN62" s="584"/>
      <c r="AO62" s="584"/>
      <c r="AP62" s="584"/>
      <c r="AQ62" s="585"/>
    </row>
    <row r="63" spans="2:43" x14ac:dyDescent="0.2">
      <c r="B63" s="556"/>
      <c r="C63" s="557"/>
      <c r="D63" s="557"/>
      <c r="E63" s="557"/>
      <c r="F63" s="557"/>
      <c r="G63" s="557"/>
      <c r="H63" s="557"/>
      <c r="I63" s="557"/>
      <c r="J63" s="557"/>
      <c r="K63" s="557"/>
      <c r="L63" s="557"/>
      <c r="M63" s="557"/>
      <c r="N63" s="557"/>
      <c r="O63" s="557"/>
      <c r="P63" s="557"/>
      <c r="Q63" s="558"/>
      <c r="S63" s="461"/>
      <c r="T63" s="234"/>
      <c r="U63" s="234"/>
      <c r="V63" s="234"/>
      <c r="W63" s="586"/>
      <c r="X63" s="587"/>
      <c r="Y63" s="587"/>
      <c r="Z63" s="587"/>
      <c r="AA63" s="587"/>
      <c r="AB63" s="587"/>
      <c r="AC63" s="587"/>
      <c r="AD63" s="587"/>
      <c r="AE63" s="587"/>
      <c r="AF63" s="587"/>
      <c r="AG63" s="587"/>
      <c r="AH63" s="587"/>
      <c r="AI63" s="587"/>
      <c r="AJ63" s="587"/>
      <c r="AK63" s="587"/>
      <c r="AL63" s="587"/>
      <c r="AM63" s="587"/>
      <c r="AN63" s="587"/>
      <c r="AO63" s="587"/>
      <c r="AP63" s="587"/>
      <c r="AQ63" s="588"/>
    </row>
    <row r="64" spans="2:43" ht="17.25" thickBot="1" x14ac:dyDescent="0.25">
      <c r="B64" s="416"/>
      <c r="C64" s="417"/>
      <c r="D64" s="417"/>
      <c r="E64" s="417"/>
      <c r="F64" s="417"/>
      <c r="G64" s="417"/>
      <c r="H64" s="417"/>
      <c r="I64" s="417"/>
      <c r="J64" s="417"/>
      <c r="K64" s="417"/>
      <c r="L64" s="417"/>
      <c r="M64" s="417"/>
      <c r="N64" s="417"/>
      <c r="O64" s="417"/>
      <c r="P64" s="417"/>
      <c r="Q64" s="418"/>
      <c r="S64" s="589"/>
      <c r="T64" s="578"/>
      <c r="U64" s="578"/>
      <c r="V64" s="578"/>
      <c r="W64" s="578"/>
      <c r="X64" s="578"/>
      <c r="Y64" s="578"/>
      <c r="Z64" s="578"/>
      <c r="AA64" s="578"/>
      <c r="AB64" s="578"/>
      <c r="AC64" s="578"/>
      <c r="AD64" s="578"/>
      <c r="AE64" s="578"/>
      <c r="AF64" s="578"/>
      <c r="AG64" s="578"/>
      <c r="AH64" s="578"/>
      <c r="AI64" s="578"/>
      <c r="AJ64" s="578"/>
      <c r="AK64" s="578"/>
      <c r="AL64" s="578"/>
      <c r="AM64" s="578"/>
      <c r="AN64" s="578"/>
      <c r="AO64" s="578"/>
      <c r="AP64" s="578"/>
      <c r="AQ64" s="579"/>
    </row>
    <row r="65" spans="2:43" ht="17.25" thickBot="1" x14ac:dyDescent="0.25">
      <c r="B65" s="44"/>
      <c r="C65" s="44"/>
      <c r="D65" s="44"/>
      <c r="E65" s="44"/>
      <c r="F65" s="44"/>
      <c r="G65" s="44"/>
      <c r="H65" s="44"/>
      <c r="I65" s="44"/>
      <c r="J65" s="44"/>
      <c r="K65" s="44"/>
      <c r="L65" s="44"/>
      <c r="M65" s="44"/>
      <c r="N65" s="44"/>
      <c r="O65" s="44"/>
      <c r="P65" s="44"/>
      <c r="Q65" s="44"/>
      <c r="S65" s="590"/>
      <c r="T65" s="591"/>
      <c r="U65" s="591"/>
      <c r="V65" s="591"/>
      <c r="W65" s="591"/>
      <c r="X65" s="591"/>
      <c r="Y65" s="591"/>
      <c r="Z65" s="591"/>
      <c r="AA65" s="591"/>
      <c r="AB65" s="591"/>
      <c r="AC65" s="591"/>
      <c r="AD65" s="591"/>
      <c r="AE65" s="591"/>
      <c r="AF65" s="591"/>
      <c r="AG65" s="591"/>
      <c r="AH65" s="591"/>
      <c r="AI65" s="591"/>
      <c r="AJ65" s="591"/>
      <c r="AK65" s="591"/>
      <c r="AL65" s="591"/>
      <c r="AM65" s="591"/>
      <c r="AN65" s="591"/>
      <c r="AO65" s="591"/>
      <c r="AP65" s="591"/>
      <c r="AQ65" s="592"/>
    </row>
    <row r="66" spans="2:43" x14ac:dyDescent="0.2">
      <c r="B66" s="413" t="s">
        <v>413</v>
      </c>
      <c r="C66" s="414"/>
      <c r="D66" s="414"/>
      <c r="E66" s="414"/>
      <c r="F66" s="414"/>
      <c r="G66" s="414"/>
      <c r="H66" s="414"/>
      <c r="I66" s="414"/>
      <c r="J66" s="414"/>
      <c r="K66" s="414"/>
      <c r="L66" s="414"/>
      <c r="M66" s="414"/>
      <c r="N66" s="414"/>
      <c r="O66" s="414"/>
      <c r="P66" s="414"/>
      <c r="Q66" s="415"/>
      <c r="S66" s="590"/>
      <c r="T66" s="591"/>
      <c r="U66" s="591"/>
      <c r="V66" s="591"/>
      <c r="W66" s="591"/>
      <c r="X66" s="591"/>
      <c r="Y66" s="591"/>
      <c r="Z66" s="591"/>
      <c r="AA66" s="591"/>
      <c r="AB66" s="591"/>
      <c r="AC66" s="591"/>
      <c r="AD66" s="591"/>
      <c r="AE66" s="591"/>
      <c r="AF66" s="591"/>
      <c r="AG66" s="591"/>
      <c r="AH66" s="591"/>
      <c r="AI66" s="591"/>
      <c r="AJ66" s="591"/>
      <c r="AK66" s="591"/>
      <c r="AL66" s="591"/>
      <c r="AM66" s="591"/>
      <c r="AN66" s="591"/>
      <c r="AO66" s="591"/>
      <c r="AP66" s="591"/>
      <c r="AQ66" s="592"/>
    </row>
    <row r="67" spans="2:43" x14ac:dyDescent="0.2">
      <c r="B67" s="419"/>
      <c r="C67" s="420"/>
      <c r="D67" s="420"/>
      <c r="E67" s="420"/>
      <c r="F67" s="420"/>
      <c r="G67" s="420"/>
      <c r="H67" s="420"/>
      <c r="I67" s="420"/>
      <c r="J67" s="420"/>
      <c r="K67" s="420"/>
      <c r="L67" s="420"/>
      <c r="M67" s="420"/>
      <c r="N67" s="420"/>
      <c r="O67" s="420"/>
      <c r="P67" s="420"/>
      <c r="Q67" s="421"/>
      <c r="S67" s="590"/>
      <c r="T67" s="591"/>
      <c r="U67" s="591"/>
      <c r="V67" s="591"/>
      <c r="W67" s="591"/>
      <c r="X67" s="591"/>
      <c r="Y67" s="591"/>
      <c r="Z67" s="591"/>
      <c r="AA67" s="591"/>
      <c r="AB67" s="591"/>
      <c r="AC67" s="591"/>
      <c r="AD67" s="591"/>
      <c r="AE67" s="591"/>
      <c r="AF67" s="591"/>
      <c r="AG67" s="591"/>
      <c r="AH67" s="591"/>
      <c r="AI67" s="591"/>
      <c r="AJ67" s="591"/>
      <c r="AK67" s="591"/>
      <c r="AL67" s="591"/>
      <c r="AM67" s="591"/>
      <c r="AN67" s="591"/>
      <c r="AO67" s="591"/>
      <c r="AP67" s="591"/>
      <c r="AQ67" s="592"/>
    </row>
    <row r="68" spans="2:43" x14ac:dyDescent="0.2">
      <c r="B68" s="419"/>
      <c r="C68" s="420"/>
      <c r="D68" s="420"/>
      <c r="E68" s="420"/>
      <c r="F68" s="420"/>
      <c r="G68" s="420"/>
      <c r="H68" s="420"/>
      <c r="I68" s="420"/>
      <c r="J68" s="420"/>
      <c r="K68" s="420"/>
      <c r="L68" s="420"/>
      <c r="M68" s="420"/>
      <c r="N68" s="420"/>
      <c r="O68" s="420"/>
      <c r="P68" s="420"/>
      <c r="Q68" s="421"/>
      <c r="S68" s="590"/>
      <c r="T68" s="591"/>
      <c r="U68" s="591"/>
      <c r="V68" s="591"/>
      <c r="W68" s="591"/>
      <c r="X68" s="591"/>
      <c r="Y68" s="591"/>
      <c r="Z68" s="591"/>
      <c r="AA68" s="591"/>
      <c r="AB68" s="591"/>
      <c r="AC68" s="591"/>
      <c r="AD68" s="591"/>
      <c r="AE68" s="591"/>
      <c r="AF68" s="591"/>
      <c r="AG68" s="591"/>
      <c r="AH68" s="591"/>
      <c r="AI68" s="591"/>
      <c r="AJ68" s="591"/>
      <c r="AK68" s="591"/>
      <c r="AL68" s="591"/>
      <c r="AM68" s="591"/>
      <c r="AN68" s="591"/>
      <c r="AO68" s="591"/>
      <c r="AP68" s="591"/>
      <c r="AQ68" s="592"/>
    </row>
    <row r="69" spans="2:43" x14ac:dyDescent="0.2">
      <c r="B69" s="419"/>
      <c r="C69" s="420"/>
      <c r="D69" s="420"/>
      <c r="E69" s="420"/>
      <c r="F69" s="420"/>
      <c r="G69" s="420"/>
      <c r="H69" s="420"/>
      <c r="I69" s="420"/>
      <c r="J69" s="420"/>
      <c r="K69" s="420"/>
      <c r="L69" s="420"/>
      <c r="M69" s="420"/>
      <c r="N69" s="420"/>
      <c r="O69" s="420"/>
      <c r="P69" s="420"/>
      <c r="Q69" s="421"/>
      <c r="S69" s="590"/>
      <c r="T69" s="591"/>
      <c r="U69" s="591"/>
      <c r="V69" s="591"/>
      <c r="W69" s="591"/>
      <c r="X69" s="591"/>
      <c r="Y69" s="591"/>
      <c r="Z69" s="591"/>
      <c r="AA69" s="591"/>
      <c r="AB69" s="591"/>
      <c r="AC69" s="591"/>
      <c r="AD69" s="591"/>
      <c r="AE69" s="591"/>
      <c r="AF69" s="591"/>
      <c r="AG69" s="591"/>
      <c r="AH69" s="591"/>
      <c r="AI69" s="591"/>
      <c r="AJ69" s="591"/>
      <c r="AK69" s="591"/>
      <c r="AL69" s="591"/>
      <c r="AM69" s="591"/>
      <c r="AN69" s="591"/>
      <c r="AO69" s="591"/>
      <c r="AP69" s="591"/>
      <c r="AQ69" s="592"/>
    </row>
    <row r="70" spans="2:43" x14ac:dyDescent="0.2">
      <c r="B70" s="419"/>
      <c r="C70" s="420"/>
      <c r="D70" s="420"/>
      <c r="E70" s="420"/>
      <c r="F70" s="420"/>
      <c r="G70" s="420"/>
      <c r="H70" s="420"/>
      <c r="I70" s="420"/>
      <c r="J70" s="420"/>
      <c r="K70" s="420"/>
      <c r="L70" s="420"/>
      <c r="M70" s="420"/>
      <c r="N70" s="420"/>
      <c r="O70" s="420"/>
      <c r="P70" s="420"/>
      <c r="Q70" s="421"/>
      <c r="S70" s="590"/>
      <c r="T70" s="591"/>
      <c r="U70" s="591"/>
      <c r="V70" s="591"/>
      <c r="W70" s="591"/>
      <c r="X70" s="591"/>
      <c r="Y70" s="591"/>
      <c r="Z70" s="591"/>
      <c r="AA70" s="591"/>
      <c r="AB70" s="591"/>
      <c r="AC70" s="591"/>
      <c r="AD70" s="591"/>
      <c r="AE70" s="591"/>
      <c r="AF70" s="591"/>
      <c r="AG70" s="591"/>
      <c r="AH70" s="591"/>
      <c r="AI70" s="591"/>
      <c r="AJ70" s="591"/>
      <c r="AK70" s="591"/>
      <c r="AL70" s="591"/>
      <c r="AM70" s="591"/>
      <c r="AN70" s="591"/>
      <c r="AO70" s="591"/>
      <c r="AP70" s="591"/>
      <c r="AQ70" s="592"/>
    </row>
    <row r="71" spans="2:43" x14ac:dyDescent="0.2">
      <c r="B71" s="419"/>
      <c r="C71" s="420"/>
      <c r="D71" s="420"/>
      <c r="E71" s="420"/>
      <c r="F71" s="420"/>
      <c r="G71" s="420"/>
      <c r="H71" s="420"/>
      <c r="I71" s="420"/>
      <c r="J71" s="420"/>
      <c r="K71" s="420"/>
      <c r="L71" s="420"/>
      <c r="M71" s="420"/>
      <c r="N71" s="420"/>
      <c r="O71" s="420"/>
      <c r="P71" s="420"/>
      <c r="Q71" s="421"/>
      <c r="S71" s="590"/>
      <c r="T71" s="591"/>
      <c r="U71" s="591"/>
      <c r="V71" s="591"/>
      <c r="W71" s="591"/>
      <c r="X71" s="591"/>
      <c r="Y71" s="591"/>
      <c r="Z71" s="591"/>
      <c r="AA71" s="591"/>
      <c r="AB71" s="591"/>
      <c r="AC71" s="591"/>
      <c r="AD71" s="591"/>
      <c r="AE71" s="591"/>
      <c r="AF71" s="591"/>
      <c r="AG71" s="591"/>
      <c r="AH71" s="591"/>
      <c r="AI71" s="591"/>
      <c r="AJ71" s="591"/>
      <c r="AK71" s="591"/>
      <c r="AL71" s="591"/>
      <c r="AM71" s="591"/>
      <c r="AN71" s="591"/>
      <c r="AO71" s="591"/>
      <c r="AP71" s="591"/>
      <c r="AQ71" s="592"/>
    </row>
    <row r="72" spans="2:43" x14ac:dyDescent="0.2">
      <c r="B72" s="419"/>
      <c r="C72" s="420"/>
      <c r="D72" s="420"/>
      <c r="E72" s="420"/>
      <c r="F72" s="420"/>
      <c r="G72" s="420"/>
      <c r="H72" s="420"/>
      <c r="I72" s="420"/>
      <c r="J72" s="420"/>
      <c r="K72" s="420"/>
      <c r="L72" s="420"/>
      <c r="M72" s="420"/>
      <c r="N72" s="420"/>
      <c r="O72" s="420"/>
      <c r="P72" s="420"/>
      <c r="Q72" s="421"/>
      <c r="S72" s="590"/>
      <c r="T72" s="591"/>
      <c r="U72" s="591"/>
      <c r="V72" s="591"/>
      <c r="W72" s="591"/>
      <c r="X72" s="591"/>
      <c r="Y72" s="591"/>
      <c r="Z72" s="591"/>
      <c r="AA72" s="591"/>
      <c r="AB72" s="591"/>
      <c r="AC72" s="591"/>
      <c r="AD72" s="591"/>
      <c r="AE72" s="591"/>
      <c r="AF72" s="591"/>
      <c r="AG72" s="591"/>
      <c r="AH72" s="591"/>
      <c r="AI72" s="591"/>
      <c r="AJ72" s="591"/>
      <c r="AK72" s="591"/>
      <c r="AL72" s="591"/>
      <c r="AM72" s="591"/>
      <c r="AN72" s="591"/>
      <c r="AO72" s="591"/>
      <c r="AP72" s="591"/>
      <c r="AQ72" s="592"/>
    </row>
    <row r="73" spans="2:43" ht="17.25" thickBot="1" x14ac:dyDescent="0.25">
      <c r="B73" s="419"/>
      <c r="C73" s="420"/>
      <c r="D73" s="420"/>
      <c r="E73" s="420"/>
      <c r="F73" s="420"/>
      <c r="G73" s="420"/>
      <c r="H73" s="420"/>
      <c r="I73" s="420"/>
      <c r="J73" s="420"/>
      <c r="K73" s="420"/>
      <c r="L73" s="420"/>
      <c r="M73" s="420"/>
      <c r="N73" s="420"/>
      <c r="O73" s="420"/>
      <c r="P73" s="420"/>
      <c r="Q73" s="421"/>
      <c r="S73" s="593"/>
      <c r="T73" s="594"/>
      <c r="U73" s="594"/>
      <c r="V73" s="594"/>
      <c r="W73" s="594"/>
      <c r="X73" s="594"/>
      <c r="Y73" s="594"/>
      <c r="Z73" s="594"/>
      <c r="AA73" s="594"/>
      <c r="AB73" s="594"/>
      <c r="AC73" s="594"/>
      <c r="AD73" s="594"/>
      <c r="AE73" s="594"/>
      <c r="AF73" s="594"/>
      <c r="AG73" s="594"/>
      <c r="AH73" s="594"/>
      <c r="AI73" s="594"/>
      <c r="AJ73" s="594"/>
      <c r="AK73" s="594"/>
      <c r="AL73" s="594"/>
      <c r="AM73" s="594"/>
      <c r="AN73" s="594"/>
      <c r="AO73" s="594"/>
      <c r="AP73" s="594"/>
      <c r="AQ73" s="595"/>
    </row>
    <row r="74" spans="2:43" ht="17.25" thickBot="1" x14ac:dyDescent="0.25">
      <c r="B74" s="419"/>
      <c r="C74" s="420"/>
      <c r="D74" s="420"/>
      <c r="E74" s="420"/>
      <c r="F74" s="420"/>
      <c r="G74" s="420"/>
      <c r="H74" s="420"/>
      <c r="I74" s="420"/>
      <c r="J74" s="420"/>
      <c r="K74" s="420"/>
      <c r="L74" s="420"/>
      <c r="M74" s="420"/>
      <c r="N74" s="420"/>
      <c r="O74" s="420"/>
      <c r="P74" s="420"/>
      <c r="Q74" s="421"/>
    </row>
    <row r="75" spans="2:43" x14ac:dyDescent="0.2">
      <c r="B75" s="419"/>
      <c r="C75" s="420"/>
      <c r="D75" s="420"/>
      <c r="E75" s="420"/>
      <c r="F75" s="420"/>
      <c r="G75" s="420"/>
      <c r="H75" s="420"/>
      <c r="I75" s="420"/>
      <c r="J75" s="420"/>
      <c r="K75" s="420"/>
      <c r="L75" s="420"/>
      <c r="M75" s="420"/>
      <c r="N75" s="420"/>
      <c r="O75" s="420"/>
      <c r="P75" s="420"/>
      <c r="Q75" s="421"/>
      <c r="S75" s="219" t="s">
        <v>340</v>
      </c>
      <c r="T75" s="220"/>
      <c r="U75" s="220"/>
      <c r="V75" s="220"/>
      <c r="W75" s="220"/>
      <c r="X75" s="220"/>
      <c r="Y75" s="220"/>
      <c r="Z75" s="220"/>
      <c r="AA75" s="220"/>
      <c r="AB75" s="221"/>
      <c r="AD75" s="219" t="s">
        <v>12</v>
      </c>
      <c r="AE75" s="220"/>
      <c r="AF75" s="220"/>
      <c r="AG75" s="220"/>
      <c r="AH75" s="220"/>
      <c r="AI75" s="220"/>
      <c r="AJ75" s="220"/>
      <c r="AK75" s="220"/>
      <c r="AL75" s="220"/>
      <c r="AM75" s="220"/>
      <c r="AN75" s="220"/>
      <c r="AO75" s="220"/>
      <c r="AP75" s="220"/>
      <c r="AQ75" s="221"/>
    </row>
    <row r="76" spans="2:43" x14ac:dyDescent="0.2">
      <c r="B76" s="419"/>
      <c r="C76" s="420"/>
      <c r="D76" s="420"/>
      <c r="E76" s="420"/>
      <c r="F76" s="420"/>
      <c r="G76" s="420"/>
      <c r="H76" s="420"/>
      <c r="I76" s="420"/>
      <c r="J76" s="420"/>
      <c r="K76" s="420"/>
      <c r="L76" s="420"/>
      <c r="M76" s="420"/>
      <c r="N76" s="420"/>
      <c r="O76" s="420"/>
      <c r="P76" s="420"/>
      <c r="Q76" s="421"/>
      <c r="S76" s="398" t="s">
        <v>412</v>
      </c>
      <c r="T76" s="399"/>
      <c r="U76" s="399"/>
      <c r="V76" s="399"/>
      <c r="W76" s="399"/>
      <c r="X76" s="399"/>
      <c r="Y76" s="399"/>
      <c r="Z76" s="399"/>
      <c r="AA76" s="399"/>
      <c r="AB76" s="400"/>
      <c r="AD76" s="442" t="s">
        <v>725</v>
      </c>
      <c r="AE76" s="443"/>
      <c r="AF76" s="443"/>
      <c r="AG76" s="443"/>
      <c r="AH76" s="443"/>
      <c r="AI76" s="443"/>
      <c r="AJ76" s="397"/>
      <c r="AK76" s="391" t="s">
        <v>339</v>
      </c>
      <c r="AL76" s="443"/>
      <c r="AM76" s="443"/>
      <c r="AN76" s="443"/>
      <c r="AO76" s="443"/>
      <c r="AP76" s="443"/>
      <c r="AQ76" s="392"/>
    </row>
    <row r="77" spans="2:43" ht="17.25" thickBot="1" x14ac:dyDescent="0.25">
      <c r="B77" s="401"/>
      <c r="C77" s="402"/>
      <c r="D77" s="402"/>
      <c r="E77" s="402"/>
      <c r="F77" s="402"/>
      <c r="G77" s="402"/>
      <c r="H77" s="402"/>
      <c r="I77" s="402"/>
      <c r="J77" s="402"/>
      <c r="K77" s="402"/>
      <c r="L77" s="402"/>
      <c r="M77" s="402"/>
      <c r="N77" s="402"/>
      <c r="O77" s="402"/>
      <c r="P77" s="402"/>
      <c r="Q77" s="403"/>
      <c r="S77" s="404"/>
      <c r="T77" s="405"/>
      <c r="U77" s="405"/>
      <c r="V77" s="405"/>
      <c r="W77" s="405"/>
      <c r="X77" s="405"/>
      <c r="Y77" s="405"/>
      <c r="Z77" s="405"/>
      <c r="AA77" s="405"/>
      <c r="AB77" s="406"/>
      <c r="AD77" s="447"/>
      <c r="AE77" s="448"/>
      <c r="AF77" s="448"/>
      <c r="AG77" s="448"/>
      <c r="AH77" s="448"/>
      <c r="AI77" s="448"/>
      <c r="AJ77" s="449"/>
      <c r="AK77" s="559"/>
      <c r="AL77" s="448"/>
      <c r="AM77" s="448"/>
      <c r="AN77" s="448"/>
      <c r="AO77" s="448"/>
      <c r="AP77" s="448"/>
      <c r="AQ77" s="560"/>
    </row>
    <row r="78" spans="2:43" ht="17.25" thickBot="1" x14ac:dyDescent="0.25">
      <c r="S78" s="407" t="s">
        <v>617</v>
      </c>
      <c r="T78" s="408"/>
      <c r="U78" s="408"/>
      <c r="V78" s="408"/>
      <c r="W78" s="408"/>
      <c r="X78" s="408"/>
      <c r="Y78" s="408"/>
      <c r="Z78" s="408"/>
      <c r="AA78" s="408"/>
      <c r="AB78" s="409"/>
      <c r="AD78" s="450"/>
      <c r="AE78" s="451"/>
      <c r="AF78" s="451"/>
      <c r="AG78" s="451"/>
      <c r="AH78" s="451"/>
      <c r="AI78" s="451"/>
      <c r="AJ78" s="452"/>
      <c r="AK78" s="451"/>
      <c r="AL78" s="451"/>
      <c r="AM78" s="451"/>
      <c r="AN78" s="451"/>
      <c r="AO78" s="451"/>
      <c r="AP78" s="451"/>
      <c r="AQ78" s="596"/>
    </row>
    <row r="79" spans="2:43" x14ac:dyDescent="0.2">
      <c r="B79" s="219" t="s">
        <v>289</v>
      </c>
      <c r="C79" s="220"/>
      <c r="D79" s="220"/>
      <c r="E79" s="220"/>
      <c r="F79" s="220"/>
      <c r="G79" s="220"/>
      <c r="H79" s="220"/>
      <c r="I79" s="220"/>
      <c r="J79" s="220"/>
      <c r="K79" s="220"/>
      <c r="L79" s="220"/>
      <c r="M79" s="220"/>
      <c r="N79" s="220"/>
      <c r="O79" s="220"/>
      <c r="P79" s="220"/>
      <c r="Q79" s="221"/>
      <c r="S79" s="410"/>
      <c r="T79" s="411"/>
      <c r="U79" s="411"/>
      <c r="V79" s="411"/>
      <c r="W79" s="411"/>
      <c r="X79" s="411"/>
      <c r="Y79" s="411"/>
      <c r="Z79" s="411"/>
      <c r="AA79" s="411"/>
      <c r="AB79" s="412"/>
      <c r="AD79" s="447"/>
      <c r="AE79" s="448"/>
      <c r="AF79" s="448"/>
      <c r="AG79" s="448"/>
      <c r="AH79" s="448"/>
      <c r="AI79" s="448"/>
      <c r="AJ79" s="449"/>
      <c r="AK79" s="448"/>
      <c r="AL79" s="448"/>
      <c r="AM79" s="448"/>
      <c r="AN79" s="448"/>
      <c r="AO79" s="448"/>
      <c r="AP79" s="448"/>
      <c r="AQ79" s="560"/>
    </row>
    <row r="80" spans="2:43" x14ac:dyDescent="0.2">
      <c r="B80" s="213" t="s">
        <v>291</v>
      </c>
      <c r="C80" s="214"/>
      <c r="D80" s="214"/>
      <c r="E80" s="214"/>
      <c r="F80" s="236" t="s">
        <v>37</v>
      </c>
      <c r="G80" s="236"/>
      <c r="H80" s="236" t="s">
        <v>38</v>
      </c>
      <c r="I80" s="236"/>
      <c r="J80" s="236" t="s">
        <v>39</v>
      </c>
      <c r="K80" s="236"/>
      <c r="L80" s="236" t="s">
        <v>40</v>
      </c>
      <c r="M80" s="236"/>
      <c r="N80" s="236" t="s">
        <v>41</v>
      </c>
      <c r="O80" s="236"/>
      <c r="P80" s="236" t="s">
        <v>42</v>
      </c>
      <c r="Q80" s="427"/>
      <c r="S80" s="398"/>
      <c r="T80" s="399"/>
      <c r="U80" s="399"/>
      <c r="V80" s="399"/>
      <c r="W80" s="399"/>
      <c r="X80" s="399"/>
      <c r="Y80" s="399"/>
      <c r="Z80" s="399"/>
      <c r="AA80" s="399"/>
      <c r="AB80" s="400"/>
      <c r="AD80" s="450"/>
      <c r="AE80" s="451"/>
      <c r="AF80" s="451"/>
      <c r="AG80" s="451"/>
      <c r="AH80" s="451"/>
      <c r="AI80" s="451"/>
      <c r="AJ80" s="452"/>
      <c r="AK80" s="451"/>
      <c r="AL80" s="451"/>
      <c r="AM80" s="451"/>
      <c r="AN80" s="451"/>
      <c r="AO80" s="451"/>
      <c r="AP80" s="451"/>
      <c r="AQ80" s="596"/>
    </row>
    <row r="81" spans="2:43" x14ac:dyDescent="0.2">
      <c r="B81" s="213"/>
      <c r="C81" s="214"/>
      <c r="D81" s="214"/>
      <c r="E81" s="214"/>
      <c r="F81" s="236" t="s">
        <v>294</v>
      </c>
      <c r="G81" s="236"/>
      <c r="H81" s="236" t="s">
        <v>44</v>
      </c>
      <c r="I81" s="236"/>
      <c r="J81" s="236" t="s">
        <v>43</v>
      </c>
      <c r="K81" s="236"/>
      <c r="L81" s="236" t="s">
        <v>45</v>
      </c>
      <c r="M81" s="236"/>
      <c r="N81" s="236" t="s">
        <v>46</v>
      </c>
      <c r="O81" s="236"/>
      <c r="P81" s="453" t="s">
        <v>542</v>
      </c>
      <c r="Q81" s="427"/>
      <c r="S81" s="404"/>
      <c r="T81" s="405"/>
      <c r="U81" s="405"/>
      <c r="V81" s="405"/>
      <c r="W81" s="405"/>
      <c r="X81" s="405"/>
      <c r="Y81" s="405"/>
      <c r="Z81" s="405"/>
      <c r="AA81" s="405"/>
      <c r="AB81" s="406"/>
      <c r="AD81" s="447"/>
      <c r="AE81" s="448"/>
      <c r="AF81" s="448"/>
      <c r="AG81" s="448"/>
      <c r="AH81" s="448"/>
      <c r="AI81" s="448"/>
      <c r="AJ81" s="449"/>
      <c r="AK81" s="448"/>
      <c r="AL81" s="448"/>
      <c r="AM81" s="448"/>
      <c r="AN81" s="448"/>
      <c r="AO81" s="448"/>
      <c r="AP81" s="448"/>
      <c r="AQ81" s="560"/>
    </row>
    <row r="82" spans="2:43" x14ac:dyDescent="0.2">
      <c r="B82" s="213" t="s">
        <v>707</v>
      </c>
      <c r="C82" s="214"/>
      <c r="D82" s="214"/>
      <c r="E82" s="214"/>
      <c r="F82" s="214"/>
      <c r="G82" s="214"/>
      <c r="H82" s="214"/>
      <c r="I82" s="214"/>
      <c r="J82" s="214"/>
      <c r="K82" s="214"/>
      <c r="L82" s="214"/>
      <c r="M82" s="214"/>
      <c r="N82" s="214"/>
      <c r="O82" s="214"/>
      <c r="P82" s="214"/>
      <c r="Q82" s="423"/>
      <c r="S82" s="407"/>
      <c r="T82" s="408"/>
      <c r="U82" s="408"/>
      <c r="V82" s="408"/>
      <c r="W82" s="408"/>
      <c r="X82" s="408"/>
      <c r="Y82" s="408"/>
      <c r="Z82" s="408"/>
      <c r="AA82" s="408"/>
      <c r="AB82" s="409"/>
      <c r="AD82" s="450"/>
      <c r="AE82" s="451"/>
      <c r="AF82" s="451"/>
      <c r="AG82" s="451"/>
      <c r="AH82" s="451"/>
      <c r="AI82" s="451"/>
      <c r="AJ82" s="452"/>
      <c r="AK82" s="451"/>
      <c r="AL82" s="451"/>
      <c r="AM82" s="451"/>
      <c r="AN82" s="451"/>
      <c r="AO82" s="451"/>
      <c r="AP82" s="451"/>
      <c r="AQ82" s="596"/>
    </row>
    <row r="83" spans="2:43" x14ac:dyDescent="0.2">
      <c r="B83" s="213"/>
      <c r="C83" s="214"/>
      <c r="D83" s="214"/>
      <c r="E83" s="214"/>
      <c r="F83" s="214"/>
      <c r="G83" s="214"/>
      <c r="H83" s="214"/>
      <c r="I83" s="214"/>
      <c r="J83" s="214"/>
      <c r="K83" s="214"/>
      <c r="L83" s="214"/>
      <c r="M83" s="214"/>
      <c r="N83" s="214"/>
      <c r="O83" s="214"/>
      <c r="P83" s="214"/>
      <c r="Q83" s="423"/>
      <c r="S83" s="410"/>
      <c r="T83" s="411"/>
      <c r="U83" s="411"/>
      <c r="V83" s="411"/>
      <c r="W83" s="411"/>
      <c r="X83" s="411"/>
      <c r="Y83" s="411"/>
      <c r="Z83" s="411"/>
      <c r="AA83" s="411"/>
      <c r="AB83" s="412"/>
      <c r="AD83" s="447"/>
      <c r="AE83" s="448"/>
      <c r="AF83" s="448"/>
      <c r="AG83" s="448"/>
      <c r="AH83" s="448"/>
      <c r="AI83" s="448"/>
      <c r="AJ83" s="449"/>
      <c r="AK83" s="448"/>
      <c r="AL83" s="448"/>
      <c r="AM83" s="448"/>
      <c r="AN83" s="448"/>
      <c r="AO83" s="448"/>
      <c r="AP83" s="448"/>
      <c r="AQ83" s="560"/>
    </row>
    <row r="84" spans="2:43" x14ac:dyDescent="0.2">
      <c r="B84" s="422" t="s">
        <v>47</v>
      </c>
      <c r="C84" s="236"/>
      <c r="D84" s="236"/>
      <c r="E84" s="236"/>
      <c r="F84" s="236"/>
      <c r="G84" s="236"/>
      <c r="H84" s="236"/>
      <c r="I84" s="236"/>
      <c r="J84" s="236" t="s">
        <v>293</v>
      </c>
      <c r="K84" s="236"/>
      <c r="L84" s="236"/>
      <c r="M84" s="236"/>
      <c r="N84" s="236"/>
      <c r="O84" s="236"/>
      <c r="P84" s="236"/>
      <c r="Q84" s="427"/>
      <c r="S84" s="398"/>
      <c r="T84" s="399"/>
      <c r="U84" s="399"/>
      <c r="V84" s="399"/>
      <c r="W84" s="399"/>
      <c r="X84" s="399"/>
      <c r="Y84" s="399"/>
      <c r="Z84" s="399"/>
      <c r="AA84" s="399"/>
      <c r="AB84" s="400"/>
      <c r="AD84" s="450"/>
      <c r="AE84" s="451"/>
      <c r="AF84" s="451"/>
      <c r="AG84" s="451"/>
      <c r="AH84" s="451"/>
      <c r="AI84" s="451"/>
      <c r="AJ84" s="452"/>
      <c r="AK84" s="451"/>
      <c r="AL84" s="451"/>
      <c r="AM84" s="451"/>
      <c r="AN84" s="451"/>
      <c r="AO84" s="451"/>
      <c r="AP84" s="451"/>
      <c r="AQ84" s="596"/>
    </row>
    <row r="85" spans="2:43" x14ac:dyDescent="0.2">
      <c r="B85" s="422" t="s">
        <v>48</v>
      </c>
      <c r="C85" s="236"/>
      <c r="D85" s="236"/>
      <c r="E85" s="236" t="s">
        <v>51</v>
      </c>
      <c r="F85" s="236"/>
      <c r="G85" s="236"/>
      <c r="H85" s="236"/>
      <c r="I85" s="236"/>
      <c r="J85" s="236"/>
      <c r="K85" s="236"/>
      <c r="L85" s="236"/>
      <c r="M85" s="236"/>
      <c r="N85" s="236"/>
      <c r="O85" s="236"/>
      <c r="P85" s="236"/>
      <c r="Q85" s="427"/>
      <c r="S85" s="404"/>
      <c r="T85" s="405"/>
      <c r="U85" s="405"/>
      <c r="V85" s="405"/>
      <c r="W85" s="405"/>
      <c r="X85" s="405"/>
      <c r="Y85" s="405"/>
      <c r="Z85" s="405"/>
      <c r="AA85" s="405"/>
      <c r="AB85" s="406"/>
      <c r="AD85" s="447"/>
      <c r="AE85" s="448"/>
      <c r="AF85" s="448"/>
      <c r="AG85" s="448"/>
      <c r="AH85" s="448"/>
      <c r="AI85" s="448"/>
      <c r="AJ85" s="449"/>
      <c r="AK85" s="448"/>
      <c r="AL85" s="448"/>
      <c r="AM85" s="448"/>
      <c r="AN85" s="448"/>
      <c r="AO85" s="448"/>
      <c r="AP85" s="448"/>
      <c r="AQ85" s="560"/>
    </row>
    <row r="86" spans="2:43" x14ac:dyDescent="0.2">
      <c r="B86" s="422" t="s">
        <v>49</v>
      </c>
      <c r="C86" s="236"/>
      <c r="D86" s="236"/>
      <c r="E86" s="236" t="s">
        <v>52</v>
      </c>
      <c r="F86" s="236"/>
      <c r="G86" s="236"/>
      <c r="H86" s="236"/>
      <c r="I86" s="236"/>
      <c r="J86" s="236"/>
      <c r="K86" s="236"/>
      <c r="L86" s="236"/>
      <c r="M86" s="236"/>
      <c r="N86" s="236"/>
      <c r="O86" s="236"/>
      <c r="P86" s="236"/>
      <c r="Q86" s="427"/>
      <c r="S86" s="407"/>
      <c r="T86" s="408"/>
      <c r="U86" s="408"/>
      <c r="V86" s="408"/>
      <c r="W86" s="408"/>
      <c r="X86" s="408"/>
      <c r="Y86" s="408"/>
      <c r="Z86" s="408"/>
      <c r="AA86" s="408"/>
      <c r="AB86" s="409"/>
      <c r="AD86" s="450"/>
      <c r="AE86" s="451"/>
      <c r="AF86" s="451"/>
      <c r="AG86" s="451"/>
      <c r="AH86" s="451"/>
      <c r="AI86" s="451"/>
      <c r="AJ86" s="452"/>
      <c r="AK86" s="451"/>
      <c r="AL86" s="451"/>
      <c r="AM86" s="451"/>
      <c r="AN86" s="451"/>
      <c r="AO86" s="451"/>
      <c r="AP86" s="451"/>
      <c r="AQ86" s="596"/>
    </row>
    <row r="87" spans="2:43" x14ac:dyDescent="0.2">
      <c r="B87" s="422" t="s">
        <v>50</v>
      </c>
      <c r="C87" s="236"/>
      <c r="D87" s="236"/>
      <c r="E87" s="214" t="s">
        <v>53</v>
      </c>
      <c r="F87" s="214"/>
      <c r="G87" s="214"/>
      <c r="H87" s="214"/>
      <c r="I87" s="214"/>
      <c r="J87" s="214"/>
      <c r="K87" s="214"/>
      <c r="L87" s="214"/>
      <c r="M87" s="214"/>
      <c r="N87" s="214"/>
      <c r="O87" s="214"/>
      <c r="P87" s="214"/>
      <c r="Q87" s="423"/>
      <c r="S87" s="410"/>
      <c r="T87" s="411"/>
      <c r="U87" s="411"/>
      <c r="V87" s="411"/>
      <c r="W87" s="411"/>
      <c r="X87" s="411"/>
      <c r="Y87" s="411"/>
      <c r="Z87" s="411"/>
      <c r="AA87" s="411"/>
      <c r="AB87" s="412"/>
      <c r="AD87" s="447"/>
      <c r="AE87" s="448"/>
      <c r="AF87" s="448"/>
      <c r="AG87" s="448"/>
      <c r="AH87" s="448"/>
      <c r="AI87" s="448"/>
      <c r="AJ87" s="449"/>
      <c r="AK87" s="448"/>
      <c r="AL87" s="448"/>
      <c r="AM87" s="448"/>
      <c r="AN87" s="448"/>
      <c r="AO87" s="448"/>
      <c r="AP87" s="448"/>
      <c r="AQ87" s="560"/>
    </row>
    <row r="88" spans="2:43" x14ac:dyDescent="0.2">
      <c r="B88" s="422"/>
      <c r="C88" s="236"/>
      <c r="D88" s="236"/>
      <c r="E88" s="214"/>
      <c r="F88" s="214"/>
      <c r="G88" s="214"/>
      <c r="H88" s="214"/>
      <c r="I88" s="214"/>
      <c r="J88" s="214"/>
      <c r="K88" s="214"/>
      <c r="L88" s="214"/>
      <c r="M88" s="214"/>
      <c r="N88" s="214"/>
      <c r="O88" s="214"/>
      <c r="P88" s="214"/>
      <c r="Q88" s="423"/>
      <c r="S88" s="398"/>
      <c r="T88" s="399"/>
      <c r="U88" s="399"/>
      <c r="V88" s="399"/>
      <c r="W88" s="399"/>
      <c r="X88" s="399"/>
      <c r="Y88" s="399"/>
      <c r="Z88" s="399"/>
      <c r="AA88" s="399"/>
      <c r="AB88" s="400"/>
      <c r="AD88" s="450"/>
      <c r="AE88" s="451"/>
      <c r="AF88" s="451"/>
      <c r="AG88" s="451"/>
      <c r="AH88" s="451"/>
      <c r="AI88" s="451"/>
      <c r="AJ88" s="452"/>
      <c r="AK88" s="451"/>
      <c r="AL88" s="451"/>
      <c r="AM88" s="451"/>
      <c r="AN88" s="451"/>
      <c r="AO88" s="451"/>
      <c r="AP88" s="451"/>
      <c r="AQ88" s="596"/>
    </row>
    <row r="89" spans="2:43" ht="17.25" thickBot="1" x14ac:dyDescent="0.25">
      <c r="B89" s="426" t="s">
        <v>54</v>
      </c>
      <c r="C89" s="424"/>
      <c r="D89" s="424"/>
      <c r="E89" s="424"/>
      <c r="F89" s="424"/>
      <c r="G89" s="424"/>
      <c r="H89" s="424"/>
      <c r="I89" s="424"/>
      <c r="J89" s="424" t="s">
        <v>55</v>
      </c>
      <c r="K89" s="424"/>
      <c r="L89" s="424"/>
      <c r="M89" s="424"/>
      <c r="N89" s="424"/>
      <c r="O89" s="424"/>
      <c r="P89" s="424"/>
      <c r="Q89" s="425"/>
      <c r="S89" s="401"/>
      <c r="T89" s="402"/>
      <c r="U89" s="402"/>
      <c r="V89" s="402"/>
      <c r="W89" s="402"/>
      <c r="X89" s="402"/>
      <c r="Y89" s="402"/>
      <c r="Z89" s="402"/>
      <c r="AA89" s="402"/>
      <c r="AB89" s="403"/>
      <c r="AD89" s="572"/>
      <c r="AE89" s="573"/>
      <c r="AF89" s="573"/>
      <c r="AG89" s="573"/>
      <c r="AH89" s="573"/>
      <c r="AI89" s="573"/>
      <c r="AJ89" s="574"/>
      <c r="AK89" s="575"/>
      <c r="AL89" s="573"/>
      <c r="AM89" s="573"/>
      <c r="AN89" s="573"/>
      <c r="AO89" s="573"/>
      <c r="AP89" s="573"/>
      <c r="AQ89" s="576"/>
    </row>
  </sheetData>
  <sheetProtection algorithmName="SHA-512" hashValue="6SJFH/Aryo6Sl5RJWhgSFm4kX+2uyomew5nJosx+IR9HOnSDgNUxKDRaLZrG+gkJ7kIwliIbu2zQ2S6sYYVihA==" saltValue="xSPow9Ocu3Sl/Yx0aSIcaw=="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H16" sqref="H16:L16"/>
    </sheetView>
  </sheetViews>
  <sheetFormatPr defaultColWidth="8.25" defaultRowHeight="16.5" x14ac:dyDescent="0.2"/>
  <cols>
    <col min="1" max="1" width="8.25" style="1"/>
    <col min="2" max="2" width="13" style="1" customWidth="1"/>
    <col min="3" max="10" width="8.25" style="1"/>
    <col min="11" max="11" width="11.25" style="1" bestFit="1" customWidth="1"/>
    <col min="12" max="16384" width="8.25" style="1"/>
  </cols>
  <sheetData>
    <row r="1" spans="1:16" ht="17.25" thickBot="1" x14ac:dyDescent="0.25">
      <c r="A1" s="597"/>
      <c r="B1" s="597"/>
      <c r="C1" s="597"/>
      <c r="D1" s="597"/>
      <c r="E1" s="597"/>
      <c r="F1" s="597"/>
      <c r="G1" s="597"/>
      <c r="H1" s="597"/>
      <c r="I1" s="597"/>
      <c r="J1" s="597"/>
      <c r="K1" s="597"/>
      <c r="L1" s="597"/>
      <c r="M1" s="597"/>
      <c r="N1" s="597"/>
      <c r="O1" s="597"/>
      <c r="P1" s="597"/>
    </row>
    <row r="2" spans="1:16" s="2" customFormat="1" x14ac:dyDescent="0.2">
      <c r="B2" s="599" t="s">
        <v>443</v>
      </c>
      <c r="C2" s="600"/>
      <c r="E2" s="599" t="s">
        <v>11</v>
      </c>
      <c r="F2" s="600"/>
      <c r="H2" s="599" t="s">
        <v>16</v>
      </c>
      <c r="I2" s="600"/>
      <c r="K2" s="599" t="s">
        <v>73</v>
      </c>
      <c r="L2" s="600"/>
      <c r="N2" s="599" t="s">
        <v>708</v>
      </c>
      <c r="O2" s="600"/>
    </row>
    <row r="3" spans="1:16" x14ac:dyDescent="0.2">
      <c r="B3" s="12" t="s">
        <v>28</v>
      </c>
      <c r="C3" s="13" t="s">
        <v>29</v>
      </c>
      <c r="E3" s="12" t="s">
        <v>28</v>
      </c>
      <c r="F3" s="13" t="s">
        <v>29</v>
      </c>
      <c r="H3" s="12" t="s">
        <v>28</v>
      </c>
      <c r="I3" s="13" t="s">
        <v>29</v>
      </c>
      <c r="K3" s="12" t="s">
        <v>28</v>
      </c>
      <c r="L3" s="13" t="s">
        <v>29</v>
      </c>
      <c r="N3" s="12" t="s">
        <v>28</v>
      </c>
      <c r="O3" s="13" t="s">
        <v>29</v>
      </c>
    </row>
    <row r="4" spans="1:16" x14ac:dyDescent="0.2">
      <c r="B4" s="105" t="s">
        <v>17</v>
      </c>
      <c r="C4" s="109">
        <v>5</v>
      </c>
      <c r="E4" s="105" t="s">
        <v>19</v>
      </c>
      <c r="F4" s="109">
        <v>1</v>
      </c>
      <c r="H4" s="105" t="s">
        <v>284</v>
      </c>
      <c r="I4" s="109">
        <v>5</v>
      </c>
      <c r="K4" s="105" t="s">
        <v>342</v>
      </c>
      <c r="L4" s="109">
        <v>25</v>
      </c>
      <c r="N4" s="5" t="s">
        <v>446</v>
      </c>
      <c r="O4" s="6">
        <v>1</v>
      </c>
    </row>
    <row r="5" spans="1:16" x14ac:dyDescent="0.2">
      <c r="B5" s="106" t="s">
        <v>61</v>
      </c>
      <c r="C5" s="110">
        <v>5</v>
      </c>
      <c r="E5" s="106" t="s">
        <v>68</v>
      </c>
      <c r="F5" s="110">
        <v>1</v>
      </c>
      <c r="H5" s="106" t="s">
        <v>285</v>
      </c>
      <c r="I5" s="110">
        <v>10</v>
      </c>
      <c r="K5" s="106" t="s">
        <v>64</v>
      </c>
      <c r="L5" s="110">
        <v>15</v>
      </c>
      <c r="N5" s="3" t="s">
        <v>456</v>
      </c>
      <c r="O5" s="4">
        <v>1</v>
      </c>
    </row>
    <row r="6" spans="1:16" x14ac:dyDescent="0.2">
      <c r="B6" s="105" t="s">
        <v>18</v>
      </c>
      <c r="C6" s="109">
        <v>5</v>
      </c>
      <c r="E6" s="105" t="s">
        <v>62</v>
      </c>
      <c r="F6" s="109">
        <v>1</v>
      </c>
      <c r="H6" s="105" t="s">
        <v>75</v>
      </c>
      <c r="I6" s="109">
        <v>25</v>
      </c>
      <c r="K6" s="105" t="s">
        <v>341</v>
      </c>
      <c r="L6" s="109">
        <v>15</v>
      </c>
      <c r="N6" s="5" t="s">
        <v>423</v>
      </c>
      <c r="O6" s="6">
        <v>1</v>
      </c>
    </row>
    <row r="7" spans="1:16" x14ac:dyDescent="0.2">
      <c r="B7" s="106" t="s">
        <v>445</v>
      </c>
      <c r="C7" s="110">
        <v>5</v>
      </c>
      <c r="E7" s="106" t="s">
        <v>69</v>
      </c>
      <c r="F7" s="110">
        <v>10</v>
      </c>
      <c r="H7" s="106" t="s">
        <v>286</v>
      </c>
      <c r="I7" s="110">
        <v>15</v>
      </c>
      <c r="K7" s="106" t="s">
        <v>65</v>
      </c>
      <c r="L7" s="110">
        <v>10</v>
      </c>
      <c r="N7" s="3" t="s">
        <v>447</v>
      </c>
      <c r="O7" s="4">
        <v>1</v>
      </c>
    </row>
    <row r="8" spans="1:16" x14ac:dyDescent="0.2">
      <c r="B8" s="105" t="s">
        <v>432</v>
      </c>
      <c r="C8" s="109">
        <v>5</v>
      </c>
      <c r="E8" s="105" t="s">
        <v>63</v>
      </c>
      <c r="F8" s="109">
        <v>1</v>
      </c>
      <c r="H8" s="105" t="s">
        <v>31</v>
      </c>
      <c r="I8" s="109">
        <v>20</v>
      </c>
      <c r="K8" s="105" t="s">
        <v>459</v>
      </c>
      <c r="L8" s="109">
        <v>10</v>
      </c>
      <c r="N8" s="5" t="s">
        <v>448</v>
      </c>
      <c r="O8" s="6">
        <v>1</v>
      </c>
    </row>
    <row r="9" spans="1:16" ht="17.25" thickBot="1" x14ac:dyDescent="0.25">
      <c r="B9" s="106" t="s">
        <v>438</v>
      </c>
      <c r="C9" s="110">
        <v>5</v>
      </c>
      <c r="E9" s="106" t="s">
        <v>70</v>
      </c>
      <c r="F9" s="110">
        <v>1</v>
      </c>
      <c r="H9" s="106" t="s">
        <v>424</v>
      </c>
      <c r="I9" s="110">
        <v>15</v>
      </c>
      <c r="K9" s="106" t="s">
        <v>66</v>
      </c>
      <c r="L9" s="110">
        <v>20</v>
      </c>
      <c r="N9" s="7" t="s">
        <v>457</v>
      </c>
      <c r="O9" s="8">
        <v>5</v>
      </c>
    </row>
    <row r="10" spans="1:16" ht="17.25" thickBot="1" x14ac:dyDescent="0.25">
      <c r="B10" s="105" t="s">
        <v>421</v>
      </c>
      <c r="C10" s="109">
        <v>5</v>
      </c>
      <c r="E10" s="105" t="s">
        <v>426</v>
      </c>
      <c r="F10" s="109">
        <v>1</v>
      </c>
      <c r="H10" s="105" t="s">
        <v>76</v>
      </c>
      <c r="I10" s="109">
        <v>10</v>
      </c>
      <c r="K10" s="107" t="s">
        <v>67</v>
      </c>
      <c r="L10" s="111">
        <v>10</v>
      </c>
    </row>
    <row r="11" spans="1:16" ht="17.25" thickBot="1" x14ac:dyDescent="0.25">
      <c r="B11" s="106" t="s">
        <v>422</v>
      </c>
      <c r="C11" s="110">
        <v>5</v>
      </c>
      <c r="E11" s="106" t="s">
        <v>71</v>
      </c>
      <c r="F11" s="110">
        <v>1</v>
      </c>
      <c r="H11" s="108" t="s">
        <v>30</v>
      </c>
      <c r="I11" s="112">
        <v>20</v>
      </c>
    </row>
    <row r="12" spans="1:16" x14ac:dyDescent="0.2">
      <c r="B12" s="105" t="s">
        <v>433</v>
      </c>
      <c r="C12" s="109">
        <v>5</v>
      </c>
      <c r="E12" s="105" t="s">
        <v>20</v>
      </c>
      <c r="F12" s="109">
        <v>1</v>
      </c>
    </row>
    <row r="13" spans="1:16" x14ac:dyDescent="0.2">
      <c r="B13" s="106" t="s">
        <v>439</v>
      </c>
      <c r="C13" s="110">
        <v>5</v>
      </c>
      <c r="E13" s="106" t="s">
        <v>21</v>
      </c>
      <c r="F13" s="110">
        <v>1</v>
      </c>
    </row>
    <row r="14" spans="1:16" x14ac:dyDescent="0.2">
      <c r="B14" s="105" t="s">
        <v>434</v>
      </c>
      <c r="C14" s="109">
        <v>5</v>
      </c>
      <c r="E14" s="105" t="s">
        <v>22</v>
      </c>
      <c r="F14" s="109">
        <v>1</v>
      </c>
    </row>
    <row r="15" spans="1:16" x14ac:dyDescent="0.2">
      <c r="B15" s="106" t="s">
        <v>440</v>
      </c>
      <c r="C15" s="110">
        <v>5</v>
      </c>
      <c r="E15" s="106" t="s">
        <v>72</v>
      </c>
      <c r="F15" s="110">
        <v>1</v>
      </c>
      <c r="H15" s="597"/>
      <c r="I15" s="597"/>
      <c r="J15" s="597"/>
      <c r="K15" s="597"/>
      <c r="L15" s="597"/>
    </row>
    <row r="16" spans="1:16" ht="17.25" thickBot="1" x14ac:dyDescent="0.25">
      <c r="B16" s="105" t="s">
        <v>435</v>
      </c>
      <c r="C16" s="109">
        <v>5</v>
      </c>
      <c r="E16" s="107" t="s">
        <v>444</v>
      </c>
      <c r="F16" s="111">
        <v>1</v>
      </c>
      <c r="H16" s="598" t="s">
        <v>616</v>
      </c>
      <c r="I16" s="598"/>
      <c r="J16" s="598"/>
      <c r="K16" s="598"/>
      <c r="L16" s="598"/>
    </row>
    <row r="17" spans="2:3" x14ac:dyDescent="0.2">
      <c r="B17" s="106" t="s">
        <v>441</v>
      </c>
      <c r="C17" s="110">
        <v>5</v>
      </c>
    </row>
    <row r="18" spans="2:3" x14ac:dyDescent="0.2">
      <c r="B18" s="105" t="s">
        <v>436</v>
      </c>
      <c r="C18" s="109">
        <v>5</v>
      </c>
    </row>
    <row r="19" spans="2:3" x14ac:dyDescent="0.2">
      <c r="B19" s="106" t="s">
        <v>442</v>
      </c>
      <c r="C19" s="110">
        <v>5</v>
      </c>
    </row>
    <row r="20" spans="2:3" ht="17.25" thickBot="1" x14ac:dyDescent="0.25">
      <c r="B20" s="107" t="s">
        <v>437</v>
      </c>
      <c r="C20" s="111">
        <v>5</v>
      </c>
    </row>
  </sheetData>
  <sheetProtection algorithmName="SHA-512" hashValue="fZ9xKC8VH5h3GajcB4a1xfw4s7UdsX6EYrx4r6wdPCWa3FRYi12krinErUejLEkCS+0WLKwXAuY8h7/AAvAkxQ==" saltValue="RVZ7BAvPE4SDw0sDC9xAuA==" spinCount="100000" sheet="1" objects="1" scenarios="1"/>
  <sortState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2" activePane="bottomLeft" state="frozen"/>
      <selection pane="bottomLeft" activeCell="D2" sqref="D2"/>
    </sheetView>
  </sheetViews>
  <sheetFormatPr defaultColWidth="9" defaultRowHeight="16.5" x14ac:dyDescent="0.2"/>
  <cols>
    <col min="1" max="1" width="9" style="66"/>
    <col min="2" max="2" width="22.5" style="76" customWidth="1"/>
    <col min="3" max="3" width="9" style="77"/>
    <col min="4" max="4" width="21.25" style="78" customWidth="1"/>
    <col min="5" max="5" width="8.125" style="66" customWidth="1"/>
    <col min="6" max="6" width="140" style="79" customWidth="1"/>
    <col min="7" max="16384" width="9" style="66"/>
  </cols>
  <sheetData>
    <row r="1" spans="1:6" x14ac:dyDescent="0.2">
      <c r="A1" s="61" t="s">
        <v>27</v>
      </c>
      <c r="B1" s="62" t="s">
        <v>2</v>
      </c>
      <c r="C1" s="63" t="s">
        <v>56</v>
      </c>
      <c r="D1" s="64" t="s">
        <v>105</v>
      </c>
      <c r="E1" s="62" t="s">
        <v>32</v>
      </c>
      <c r="F1" s="65" t="s">
        <v>26</v>
      </c>
    </row>
    <row r="2" spans="1:6" x14ac:dyDescent="0.2">
      <c r="A2" s="67">
        <v>0</v>
      </c>
      <c r="B2" s="104" t="s">
        <v>33</v>
      </c>
      <c r="C2" s="68" t="s">
        <v>80</v>
      </c>
      <c r="D2" s="80" t="s">
        <v>82</v>
      </c>
      <c r="E2" s="69">
        <f>LOOKUP(D2,附表!E26:E31,附表!F26:F31)</f>
        <v>0</v>
      </c>
      <c r="F2" s="70" t="s">
        <v>597</v>
      </c>
    </row>
    <row r="3" spans="1:6" ht="17.25" x14ac:dyDescent="0.2">
      <c r="A3" s="71">
        <v>1</v>
      </c>
      <c r="B3" s="102" t="s">
        <v>79</v>
      </c>
      <c r="C3" s="72" t="s">
        <v>81</v>
      </c>
      <c r="D3" s="73" t="s">
        <v>280</v>
      </c>
      <c r="E3" s="72">
        <f>EDU*4</f>
        <v>0</v>
      </c>
      <c r="F3" s="74" t="s">
        <v>292</v>
      </c>
    </row>
    <row r="4" spans="1:6" ht="17.25" x14ac:dyDescent="0.2">
      <c r="A4" s="67">
        <v>2</v>
      </c>
      <c r="B4" s="101" t="s">
        <v>131</v>
      </c>
      <c r="C4" s="68" t="s">
        <v>83</v>
      </c>
      <c r="D4" s="75" t="s">
        <v>278</v>
      </c>
      <c r="E4" s="69">
        <f>EDU*2+DEX*2</f>
        <v>0</v>
      </c>
      <c r="F4" s="70" t="s">
        <v>112</v>
      </c>
    </row>
    <row r="5" spans="1:6" x14ac:dyDescent="0.2">
      <c r="A5" s="71">
        <v>3</v>
      </c>
      <c r="B5" s="102" t="s">
        <v>86</v>
      </c>
      <c r="C5" s="72" t="s">
        <v>101</v>
      </c>
      <c r="D5" s="73" t="s">
        <v>85</v>
      </c>
      <c r="E5" s="72">
        <f>EDU*2+APP*2</f>
        <v>0</v>
      </c>
      <c r="F5" s="74" t="s">
        <v>620</v>
      </c>
    </row>
    <row r="6" spans="1:6" x14ac:dyDescent="0.2">
      <c r="A6" s="67">
        <v>4</v>
      </c>
      <c r="B6" s="101" t="s">
        <v>94</v>
      </c>
      <c r="C6" s="68" t="s">
        <v>132</v>
      </c>
      <c r="D6" s="75" t="s">
        <v>85</v>
      </c>
      <c r="E6" s="69">
        <f>EDU*2+APP*2</f>
        <v>0</v>
      </c>
      <c r="F6" s="70" t="s">
        <v>621</v>
      </c>
    </row>
    <row r="7" spans="1:6" x14ac:dyDescent="0.2">
      <c r="A7" s="71">
        <v>5</v>
      </c>
      <c r="B7" s="102" t="s">
        <v>133</v>
      </c>
      <c r="C7" s="72" t="s">
        <v>134</v>
      </c>
      <c r="D7" s="73" t="s">
        <v>135</v>
      </c>
      <c r="E7" s="72">
        <f>EDU*2+MAX(STR,DEX)*2</f>
        <v>0</v>
      </c>
      <c r="F7" s="74" t="s">
        <v>87</v>
      </c>
    </row>
    <row r="8" spans="1:6" x14ac:dyDescent="0.2">
      <c r="A8" s="67">
        <v>6</v>
      </c>
      <c r="B8" s="101" t="s">
        <v>136</v>
      </c>
      <c r="C8" s="68" t="s">
        <v>137</v>
      </c>
      <c r="D8" s="75" t="s">
        <v>88</v>
      </c>
      <c r="E8" s="69">
        <f>EDU*4</f>
        <v>0</v>
      </c>
      <c r="F8" s="70" t="s">
        <v>95</v>
      </c>
    </row>
    <row r="9" spans="1:6" x14ac:dyDescent="0.2">
      <c r="A9" s="71">
        <v>7</v>
      </c>
      <c r="B9" s="102" t="s">
        <v>138</v>
      </c>
      <c r="C9" s="72" t="s">
        <v>89</v>
      </c>
      <c r="D9" s="73" t="s">
        <v>699</v>
      </c>
      <c r="E9" s="72">
        <f>EDU*2+MAX(APP,POW)*2</f>
        <v>0</v>
      </c>
      <c r="F9" s="74" t="s">
        <v>622</v>
      </c>
    </row>
    <row r="10" spans="1:6" x14ac:dyDescent="0.2">
      <c r="A10" s="67">
        <v>8</v>
      </c>
      <c r="B10" s="101" t="s">
        <v>139</v>
      </c>
      <c r="C10" s="68" t="s">
        <v>81</v>
      </c>
      <c r="D10" s="75" t="s">
        <v>88</v>
      </c>
      <c r="E10" s="69">
        <f>EDU*4</f>
        <v>0</v>
      </c>
      <c r="F10" s="70" t="s">
        <v>623</v>
      </c>
    </row>
    <row r="11" spans="1:6" x14ac:dyDescent="0.2">
      <c r="A11" s="71">
        <v>9</v>
      </c>
      <c r="B11" s="102" t="s">
        <v>90</v>
      </c>
      <c r="C11" s="72" t="s">
        <v>113</v>
      </c>
      <c r="D11" s="73" t="s">
        <v>88</v>
      </c>
      <c r="E11" s="72">
        <f>EDU*4</f>
        <v>0</v>
      </c>
      <c r="F11" s="74" t="s">
        <v>624</v>
      </c>
    </row>
    <row r="12" spans="1:6" x14ac:dyDescent="0.2">
      <c r="A12" s="67">
        <v>10</v>
      </c>
      <c r="B12" s="101" t="s">
        <v>140</v>
      </c>
      <c r="C12" s="68" t="s">
        <v>89</v>
      </c>
      <c r="D12" s="75" t="s">
        <v>88</v>
      </c>
      <c r="E12" s="69">
        <f>EDU*4</f>
        <v>0</v>
      </c>
      <c r="F12" s="70" t="s">
        <v>96</v>
      </c>
    </row>
    <row r="13" spans="1:6" x14ac:dyDescent="0.2">
      <c r="A13" s="71">
        <v>11</v>
      </c>
      <c r="B13" s="102" t="s">
        <v>141</v>
      </c>
      <c r="C13" s="72" t="s">
        <v>81</v>
      </c>
      <c r="D13" s="73" t="s">
        <v>88</v>
      </c>
      <c r="E13" s="72">
        <f>EDU*4</f>
        <v>0</v>
      </c>
      <c r="F13" s="74" t="s">
        <v>625</v>
      </c>
    </row>
    <row r="14" spans="1:6" x14ac:dyDescent="0.2">
      <c r="A14" s="67">
        <v>12</v>
      </c>
      <c r="B14" s="101" t="s">
        <v>290</v>
      </c>
      <c r="C14" s="68" t="s">
        <v>91</v>
      </c>
      <c r="D14" s="75" t="s">
        <v>698</v>
      </c>
      <c r="E14" s="69">
        <f>EDU*2+MAX(DEX,POW)*2</f>
        <v>0</v>
      </c>
      <c r="F14" s="70" t="s">
        <v>626</v>
      </c>
    </row>
    <row r="15" spans="1:6" ht="17.25" customHeight="1" x14ac:dyDescent="0.2">
      <c r="A15" s="71">
        <v>13</v>
      </c>
      <c r="B15" s="102" t="s">
        <v>92</v>
      </c>
      <c r="C15" s="72" t="s">
        <v>142</v>
      </c>
      <c r="D15" s="73" t="s">
        <v>696</v>
      </c>
      <c r="E15" s="72">
        <f>EDU*2+MAX(STR,DEX)*2</f>
        <v>0</v>
      </c>
      <c r="F15" s="74" t="s">
        <v>627</v>
      </c>
    </row>
    <row r="16" spans="1:6" ht="17.25" customHeight="1" x14ac:dyDescent="0.2">
      <c r="A16" s="67">
        <v>14</v>
      </c>
      <c r="B16" s="101" t="s">
        <v>23</v>
      </c>
      <c r="C16" s="68" t="s">
        <v>93</v>
      </c>
      <c r="D16" s="75" t="s">
        <v>696</v>
      </c>
      <c r="E16" s="69">
        <f>EDU*2+MAX(STR,DEX)*2</f>
        <v>0</v>
      </c>
      <c r="F16" s="70" t="s">
        <v>143</v>
      </c>
    </row>
    <row r="17" spans="1:6" ht="16.5" customHeight="1" x14ac:dyDescent="0.2">
      <c r="A17" s="71">
        <v>15</v>
      </c>
      <c r="B17" s="102" t="s">
        <v>144</v>
      </c>
      <c r="C17" s="72" t="s">
        <v>99</v>
      </c>
      <c r="D17" s="73" t="s">
        <v>88</v>
      </c>
      <c r="E17" s="72">
        <f>EDU*4</f>
        <v>0</v>
      </c>
      <c r="F17" s="74" t="s">
        <v>628</v>
      </c>
    </row>
    <row r="18" spans="1:6" x14ac:dyDescent="0.2">
      <c r="A18" s="67">
        <v>16</v>
      </c>
      <c r="B18" s="101" t="s">
        <v>97</v>
      </c>
      <c r="C18" s="68" t="s">
        <v>145</v>
      </c>
      <c r="D18" s="75" t="s">
        <v>85</v>
      </c>
      <c r="E18" s="69">
        <f>EDU*2+APP*2</f>
        <v>0</v>
      </c>
      <c r="F18" s="70" t="s">
        <v>146</v>
      </c>
    </row>
    <row r="19" spans="1:6" ht="16.5" customHeight="1" x14ac:dyDescent="0.2">
      <c r="A19" s="71">
        <v>17</v>
      </c>
      <c r="B19" s="102" t="s">
        <v>147</v>
      </c>
      <c r="C19" s="72" t="s">
        <v>148</v>
      </c>
      <c r="D19" s="73" t="s">
        <v>696</v>
      </c>
      <c r="E19" s="72">
        <f>EDU*2+MAX(STR,DEX)*2</f>
        <v>0</v>
      </c>
      <c r="F19" s="74" t="s">
        <v>629</v>
      </c>
    </row>
    <row r="20" spans="1:6" ht="16.5" customHeight="1" x14ac:dyDescent="0.2">
      <c r="A20" s="67">
        <v>18</v>
      </c>
      <c r="B20" s="101" t="s">
        <v>24</v>
      </c>
      <c r="C20" s="68" t="s">
        <v>149</v>
      </c>
      <c r="D20" s="75" t="s">
        <v>88</v>
      </c>
      <c r="E20" s="69">
        <f>EDU*4</f>
        <v>0</v>
      </c>
      <c r="F20" s="70" t="s">
        <v>98</v>
      </c>
    </row>
    <row r="21" spans="1:6" x14ac:dyDescent="0.2">
      <c r="A21" s="71">
        <v>19</v>
      </c>
      <c r="B21" s="102" t="s">
        <v>25</v>
      </c>
      <c r="C21" s="72" t="s">
        <v>99</v>
      </c>
      <c r="D21" s="73" t="s">
        <v>696</v>
      </c>
      <c r="E21" s="72">
        <f>EDU*2+MAX(STR,DEX)*2</f>
        <v>0</v>
      </c>
      <c r="F21" s="74" t="s">
        <v>630</v>
      </c>
    </row>
    <row r="22" spans="1:6" ht="16.5" customHeight="1" x14ac:dyDescent="0.2">
      <c r="A22" s="67">
        <v>20</v>
      </c>
      <c r="B22" s="101" t="s">
        <v>150</v>
      </c>
      <c r="C22" s="68" t="s">
        <v>102</v>
      </c>
      <c r="D22" s="75" t="s">
        <v>100</v>
      </c>
      <c r="E22" s="69">
        <f>EDU*2+STR*2</f>
        <v>0</v>
      </c>
      <c r="F22" s="70" t="s">
        <v>151</v>
      </c>
    </row>
    <row r="23" spans="1:6" ht="16.5" customHeight="1" x14ac:dyDescent="0.2">
      <c r="A23" s="71">
        <v>21</v>
      </c>
      <c r="B23" s="102" t="s">
        <v>152</v>
      </c>
      <c r="C23" s="72" t="s">
        <v>101</v>
      </c>
      <c r="D23" s="73" t="s">
        <v>88</v>
      </c>
      <c r="E23" s="72">
        <f>EDU*4</f>
        <v>0</v>
      </c>
      <c r="F23" s="74" t="s">
        <v>631</v>
      </c>
    </row>
    <row r="24" spans="1:6" x14ac:dyDescent="0.2">
      <c r="A24" s="67">
        <v>22</v>
      </c>
      <c r="B24" s="101" t="s">
        <v>153</v>
      </c>
      <c r="C24" s="68" t="s">
        <v>102</v>
      </c>
      <c r="D24" s="75" t="s">
        <v>88</v>
      </c>
      <c r="E24" s="69">
        <f>EDU*4</f>
        <v>0</v>
      </c>
      <c r="F24" s="70" t="s">
        <v>114</v>
      </c>
    </row>
    <row r="25" spans="1:6" x14ac:dyDescent="0.2">
      <c r="A25" s="71">
        <v>23</v>
      </c>
      <c r="B25" s="102" t="s">
        <v>103</v>
      </c>
      <c r="C25" s="72" t="s">
        <v>115</v>
      </c>
      <c r="D25" s="73" t="s">
        <v>88</v>
      </c>
      <c r="E25" s="72">
        <f>EDU*4</f>
        <v>0</v>
      </c>
      <c r="F25" s="74" t="s">
        <v>632</v>
      </c>
    </row>
    <row r="26" spans="1:6" x14ac:dyDescent="0.2">
      <c r="A26" s="67">
        <v>24</v>
      </c>
      <c r="B26" s="101" t="s">
        <v>154</v>
      </c>
      <c r="C26" s="68" t="s">
        <v>115</v>
      </c>
      <c r="D26" s="75" t="s">
        <v>88</v>
      </c>
      <c r="E26" s="69">
        <f>EDU*4</f>
        <v>0</v>
      </c>
      <c r="F26" s="70" t="s">
        <v>633</v>
      </c>
    </row>
    <row r="27" spans="1:6" x14ac:dyDescent="0.2">
      <c r="A27" s="71">
        <v>25</v>
      </c>
      <c r="B27" s="102" t="s">
        <v>57</v>
      </c>
      <c r="C27" s="72" t="s">
        <v>83</v>
      </c>
      <c r="D27" s="73" t="s">
        <v>696</v>
      </c>
      <c r="E27" s="72">
        <f>EDU*2+MAX(STR,DEX)*2</f>
        <v>0</v>
      </c>
      <c r="F27" s="74" t="s">
        <v>634</v>
      </c>
    </row>
    <row r="28" spans="1:6" ht="17.25" customHeight="1" x14ac:dyDescent="0.2">
      <c r="A28" s="67">
        <v>26</v>
      </c>
      <c r="B28" s="101" t="s">
        <v>155</v>
      </c>
      <c r="C28" s="68" t="s">
        <v>89</v>
      </c>
      <c r="D28" s="75" t="s">
        <v>104</v>
      </c>
      <c r="E28" s="69">
        <f>EDU*2+DEX*2</f>
        <v>0</v>
      </c>
      <c r="F28" s="70" t="s">
        <v>635</v>
      </c>
    </row>
    <row r="29" spans="1:6" ht="16.5" customHeight="1" x14ac:dyDescent="0.2">
      <c r="A29" s="71">
        <v>27</v>
      </c>
      <c r="B29" s="102" t="s">
        <v>156</v>
      </c>
      <c r="C29" s="72" t="s">
        <v>111</v>
      </c>
      <c r="D29" s="73" t="s">
        <v>696</v>
      </c>
      <c r="E29" s="72">
        <f>EDU*2+MAX(STR,DEX)*2</f>
        <v>0</v>
      </c>
      <c r="F29" s="74" t="s">
        <v>636</v>
      </c>
    </row>
    <row r="30" spans="1:6" ht="17.25" customHeight="1" x14ac:dyDescent="0.2">
      <c r="A30" s="67">
        <v>28</v>
      </c>
      <c r="B30" s="101" t="s">
        <v>106</v>
      </c>
      <c r="C30" s="68" t="s">
        <v>157</v>
      </c>
      <c r="D30" s="75" t="s">
        <v>696</v>
      </c>
      <c r="E30" s="69">
        <f>EDU*2+MAX(STR,DEX)*2</f>
        <v>0</v>
      </c>
      <c r="F30" s="70" t="s">
        <v>637</v>
      </c>
    </row>
    <row r="31" spans="1:6" ht="17.25" customHeight="1" x14ac:dyDescent="0.2">
      <c r="A31" s="71">
        <v>29</v>
      </c>
      <c r="B31" s="102" t="s">
        <v>158</v>
      </c>
      <c r="C31" s="72" t="s">
        <v>116</v>
      </c>
      <c r="D31" s="73" t="s">
        <v>279</v>
      </c>
      <c r="E31" s="72">
        <f>EDU*2+STR*2</f>
        <v>0</v>
      </c>
      <c r="F31" s="74" t="s">
        <v>638</v>
      </c>
    </row>
    <row r="32" spans="1:6" ht="17.25" customHeight="1" x14ac:dyDescent="0.2">
      <c r="A32" s="67">
        <v>30</v>
      </c>
      <c r="B32" s="101" t="s">
        <v>159</v>
      </c>
      <c r="C32" s="68" t="s">
        <v>160</v>
      </c>
      <c r="D32" s="75" t="s">
        <v>278</v>
      </c>
      <c r="E32" s="69">
        <f>EDU*2+DEX*2</f>
        <v>0</v>
      </c>
      <c r="F32" s="70" t="s">
        <v>639</v>
      </c>
    </row>
    <row r="33" spans="1:6" ht="17.25" customHeight="1" x14ac:dyDescent="0.2">
      <c r="A33" s="71">
        <v>31</v>
      </c>
      <c r="B33" s="102" t="s">
        <v>107</v>
      </c>
      <c r="C33" s="72" t="s">
        <v>161</v>
      </c>
      <c r="D33" s="73" t="s">
        <v>277</v>
      </c>
      <c r="E33" s="72">
        <f>EDU*2+APP*2</f>
        <v>0</v>
      </c>
      <c r="F33" s="74" t="s">
        <v>640</v>
      </c>
    </row>
    <row r="34" spans="1:6" ht="17.25" customHeight="1" x14ac:dyDescent="0.2">
      <c r="A34" s="67">
        <v>32</v>
      </c>
      <c r="B34" s="101" t="s">
        <v>162</v>
      </c>
      <c r="C34" s="68" t="s">
        <v>163</v>
      </c>
      <c r="D34" s="75" t="s">
        <v>697</v>
      </c>
      <c r="E34" s="69">
        <f>EDU*2+MAX(DEX,APP)*2</f>
        <v>0</v>
      </c>
      <c r="F34" s="70" t="s">
        <v>641</v>
      </c>
    </row>
    <row r="35" spans="1:6" ht="17.25" customHeight="1" x14ac:dyDescent="0.2">
      <c r="A35" s="71">
        <v>33</v>
      </c>
      <c r="B35" s="102" t="s">
        <v>164</v>
      </c>
      <c r="C35" s="72" t="s">
        <v>165</v>
      </c>
      <c r="D35" s="73" t="s">
        <v>277</v>
      </c>
      <c r="E35" s="72">
        <f>EDU*2+APP*2</f>
        <v>0</v>
      </c>
      <c r="F35" s="74" t="s">
        <v>642</v>
      </c>
    </row>
    <row r="36" spans="1:6" ht="17.25" customHeight="1" x14ac:dyDescent="0.2">
      <c r="A36" s="67">
        <v>34</v>
      </c>
      <c r="B36" s="101" t="s">
        <v>166</v>
      </c>
      <c r="C36" s="68" t="s">
        <v>149</v>
      </c>
      <c r="D36" s="75" t="s">
        <v>277</v>
      </c>
      <c r="E36" s="69">
        <f>EDU*2+APP*2</f>
        <v>0</v>
      </c>
      <c r="F36" s="70" t="s">
        <v>643</v>
      </c>
    </row>
    <row r="37" spans="1:6" ht="17.25" customHeight="1" x14ac:dyDescent="0.2">
      <c r="A37" s="71">
        <v>35</v>
      </c>
      <c r="B37" s="102" t="s">
        <v>283</v>
      </c>
      <c r="C37" s="72" t="s">
        <v>110</v>
      </c>
      <c r="D37" s="73" t="s">
        <v>88</v>
      </c>
      <c r="E37" s="72">
        <f>EDU*4</f>
        <v>0</v>
      </c>
      <c r="F37" s="74" t="s">
        <v>644</v>
      </c>
    </row>
    <row r="38" spans="1:6" x14ac:dyDescent="0.2">
      <c r="A38" s="67">
        <v>36</v>
      </c>
      <c r="B38" s="101" t="s">
        <v>167</v>
      </c>
      <c r="C38" s="68" t="s">
        <v>110</v>
      </c>
      <c r="D38" s="75" t="s">
        <v>697</v>
      </c>
      <c r="E38" s="69">
        <f>EDU*2+MAX(DEX,APP)*2</f>
        <v>0</v>
      </c>
      <c r="F38" s="70" t="s">
        <v>168</v>
      </c>
    </row>
    <row r="39" spans="1:6" ht="17.25" customHeight="1" x14ac:dyDescent="0.2">
      <c r="A39" s="71">
        <v>37</v>
      </c>
      <c r="B39" s="102" t="s">
        <v>108</v>
      </c>
      <c r="C39" s="72" t="s">
        <v>109</v>
      </c>
      <c r="D39" s="73" t="s">
        <v>696</v>
      </c>
      <c r="E39" s="72">
        <f>EDU*2+MAX(STR,DEX)*2</f>
        <v>0</v>
      </c>
      <c r="F39" s="74" t="s">
        <v>645</v>
      </c>
    </row>
    <row r="40" spans="1:6" ht="17.25" customHeight="1" x14ac:dyDescent="0.2">
      <c r="A40" s="67">
        <v>38</v>
      </c>
      <c r="B40" s="101" t="s">
        <v>169</v>
      </c>
      <c r="C40" s="68" t="s">
        <v>111</v>
      </c>
      <c r="D40" s="75" t="s">
        <v>88</v>
      </c>
      <c r="E40" s="69">
        <f>EDU*4</f>
        <v>0</v>
      </c>
      <c r="F40" s="70" t="s">
        <v>170</v>
      </c>
    </row>
    <row r="41" spans="1:6" x14ac:dyDescent="0.2">
      <c r="A41" s="71">
        <v>39</v>
      </c>
      <c r="B41" s="102" t="s">
        <v>171</v>
      </c>
      <c r="C41" s="72" t="s">
        <v>148</v>
      </c>
      <c r="D41" s="73" t="s">
        <v>88</v>
      </c>
      <c r="E41" s="72">
        <f>EDU*4</f>
        <v>0</v>
      </c>
      <c r="F41" s="74" t="s">
        <v>117</v>
      </c>
    </row>
    <row r="42" spans="1:6" x14ac:dyDescent="0.2">
      <c r="A42" s="67">
        <v>40</v>
      </c>
      <c r="B42" s="101" t="s">
        <v>172</v>
      </c>
      <c r="C42" s="68" t="s">
        <v>110</v>
      </c>
      <c r="D42" s="75" t="s">
        <v>88</v>
      </c>
      <c r="E42" s="69">
        <f>EDU*4</f>
        <v>0</v>
      </c>
      <c r="F42" s="70" t="s">
        <v>646</v>
      </c>
    </row>
    <row r="43" spans="1:6" x14ac:dyDescent="0.2">
      <c r="A43" s="71">
        <v>41</v>
      </c>
      <c r="B43" s="102" t="s">
        <v>335</v>
      </c>
      <c r="C43" s="72" t="s">
        <v>173</v>
      </c>
      <c r="D43" s="73" t="s">
        <v>85</v>
      </c>
      <c r="E43" s="72">
        <f>EDU*2+APP*2</f>
        <v>0</v>
      </c>
      <c r="F43" s="74" t="s">
        <v>647</v>
      </c>
    </row>
    <row r="44" spans="1:6" ht="17.25" customHeight="1" x14ac:dyDescent="0.2">
      <c r="A44" s="67">
        <v>42</v>
      </c>
      <c r="B44" s="101" t="s">
        <v>174</v>
      </c>
      <c r="C44" s="68" t="s">
        <v>99</v>
      </c>
      <c r="D44" s="75" t="s">
        <v>278</v>
      </c>
      <c r="E44" s="69">
        <f>EDU*2+DEX*2</f>
        <v>0</v>
      </c>
      <c r="F44" s="70" t="s">
        <v>175</v>
      </c>
    </row>
    <row r="45" spans="1:6" ht="17.25" customHeight="1" x14ac:dyDescent="0.2">
      <c r="A45" s="71">
        <v>43</v>
      </c>
      <c r="B45" s="102" t="s">
        <v>176</v>
      </c>
      <c r="C45" s="72" t="s">
        <v>118</v>
      </c>
      <c r="D45" s="73" t="s">
        <v>88</v>
      </c>
      <c r="E45" s="72">
        <f>EDU*4</f>
        <v>0</v>
      </c>
      <c r="F45" s="74" t="s">
        <v>648</v>
      </c>
    </row>
    <row r="46" spans="1:6" ht="33" x14ac:dyDescent="0.2">
      <c r="A46" s="67">
        <v>44</v>
      </c>
      <c r="B46" s="101" t="s">
        <v>177</v>
      </c>
      <c r="C46" s="68" t="s">
        <v>127</v>
      </c>
      <c r="D46" s="75" t="s">
        <v>119</v>
      </c>
      <c r="E46" s="69">
        <f>MAX(APP,DEX,STR)*2+EDU*2</f>
        <v>0</v>
      </c>
      <c r="F46" s="70" t="s">
        <v>178</v>
      </c>
    </row>
    <row r="47" spans="1:6" ht="33" customHeight="1" x14ac:dyDescent="0.2">
      <c r="A47" s="71">
        <v>45</v>
      </c>
      <c r="B47" s="102" t="s">
        <v>120</v>
      </c>
      <c r="C47" s="72" t="s">
        <v>89</v>
      </c>
      <c r="D47" s="73" t="s">
        <v>278</v>
      </c>
      <c r="E47" s="72">
        <f>EDU*2+DEX*2</f>
        <v>0</v>
      </c>
      <c r="F47" s="74" t="s">
        <v>649</v>
      </c>
    </row>
    <row r="48" spans="1:6" ht="17.25" customHeight="1" x14ac:dyDescent="0.2">
      <c r="A48" s="67">
        <v>46</v>
      </c>
      <c r="B48" s="101" t="s">
        <v>121</v>
      </c>
      <c r="C48" s="68" t="s">
        <v>83</v>
      </c>
      <c r="D48" s="75" t="s">
        <v>696</v>
      </c>
      <c r="E48" s="69">
        <f>EDU*2+MAX(STR,DEX)*2</f>
        <v>0</v>
      </c>
      <c r="F48" s="70" t="s">
        <v>179</v>
      </c>
    </row>
    <row r="49" spans="1:6" ht="17.25" customHeight="1" x14ac:dyDescent="0.2">
      <c r="A49" s="71">
        <v>47</v>
      </c>
      <c r="B49" s="102" t="s">
        <v>180</v>
      </c>
      <c r="C49" s="72" t="s">
        <v>99</v>
      </c>
      <c r="D49" s="73" t="s">
        <v>278</v>
      </c>
      <c r="E49" s="72">
        <f>EDU*2+DEX*2</f>
        <v>0</v>
      </c>
      <c r="F49" s="74" t="s">
        <v>650</v>
      </c>
    </row>
    <row r="50" spans="1:6" ht="17.25" customHeight="1" x14ac:dyDescent="0.2">
      <c r="A50" s="67">
        <v>48</v>
      </c>
      <c r="B50" s="101" t="s">
        <v>181</v>
      </c>
      <c r="C50" s="68" t="s">
        <v>182</v>
      </c>
      <c r="D50" s="75" t="s">
        <v>88</v>
      </c>
      <c r="E50" s="69">
        <f>EDU*4</f>
        <v>0</v>
      </c>
      <c r="F50" s="70" t="s">
        <v>183</v>
      </c>
    </row>
    <row r="51" spans="1:6" ht="17.25" x14ac:dyDescent="0.2">
      <c r="A51" s="71">
        <v>49</v>
      </c>
      <c r="B51" s="102" t="s">
        <v>184</v>
      </c>
      <c r="C51" s="72" t="s">
        <v>122</v>
      </c>
      <c r="D51" s="73" t="s">
        <v>277</v>
      </c>
      <c r="E51" s="72">
        <f>EDU*2+APP*2</f>
        <v>0</v>
      </c>
      <c r="F51" s="74" t="s">
        <v>651</v>
      </c>
    </row>
    <row r="52" spans="1:6" ht="17.25" customHeight="1" x14ac:dyDescent="0.2">
      <c r="A52" s="67">
        <v>50</v>
      </c>
      <c r="B52" s="101" t="s">
        <v>58</v>
      </c>
      <c r="C52" s="68" t="s">
        <v>111</v>
      </c>
      <c r="D52" s="75" t="s">
        <v>88</v>
      </c>
      <c r="E52" s="69">
        <f>EDU*4</f>
        <v>0</v>
      </c>
      <c r="F52" s="70" t="s">
        <v>652</v>
      </c>
    </row>
    <row r="53" spans="1:6" x14ac:dyDescent="0.2">
      <c r="A53" s="71">
        <v>51</v>
      </c>
      <c r="B53" s="102" t="s">
        <v>185</v>
      </c>
      <c r="C53" s="72" t="s">
        <v>93</v>
      </c>
      <c r="D53" s="73" t="s">
        <v>85</v>
      </c>
      <c r="E53" s="72">
        <f>EDU*2+APP*2</f>
        <v>0</v>
      </c>
      <c r="F53" s="74" t="s">
        <v>653</v>
      </c>
    </row>
    <row r="54" spans="1:6" ht="16.5" customHeight="1" x14ac:dyDescent="0.2">
      <c r="A54" s="67">
        <v>52</v>
      </c>
      <c r="B54" s="101" t="s">
        <v>186</v>
      </c>
      <c r="C54" s="68" t="s">
        <v>187</v>
      </c>
      <c r="D54" s="75" t="s">
        <v>119</v>
      </c>
      <c r="E54" s="69">
        <f>MAX(APP,DEX,STR)*2+EDU*2</f>
        <v>0</v>
      </c>
      <c r="F54" s="70" t="s">
        <v>654</v>
      </c>
    </row>
    <row r="55" spans="1:6" ht="33" customHeight="1" x14ac:dyDescent="0.2">
      <c r="A55" s="71">
        <v>53</v>
      </c>
      <c r="B55" s="102" t="s">
        <v>188</v>
      </c>
      <c r="C55" s="72" t="s">
        <v>99</v>
      </c>
      <c r="D55" s="73" t="s">
        <v>696</v>
      </c>
      <c r="E55" s="72">
        <f>EDU*2+MAX(STR,DEX)*2</f>
        <v>0</v>
      </c>
      <c r="F55" s="74" t="s">
        <v>655</v>
      </c>
    </row>
    <row r="56" spans="1:6" ht="16.5" customHeight="1" x14ac:dyDescent="0.2">
      <c r="A56" s="67">
        <v>54</v>
      </c>
      <c r="B56" s="101" t="s">
        <v>189</v>
      </c>
      <c r="C56" s="68" t="s">
        <v>149</v>
      </c>
      <c r="D56" s="75" t="s">
        <v>88</v>
      </c>
      <c r="E56" s="69">
        <f>EDU*4</f>
        <v>0</v>
      </c>
      <c r="F56" s="70" t="s">
        <v>190</v>
      </c>
    </row>
    <row r="57" spans="1:6" x14ac:dyDescent="0.2">
      <c r="A57" s="71">
        <v>55</v>
      </c>
      <c r="B57" s="102" t="s">
        <v>123</v>
      </c>
      <c r="C57" s="72" t="s">
        <v>99</v>
      </c>
      <c r="D57" s="73" t="s">
        <v>696</v>
      </c>
      <c r="E57" s="72">
        <f>EDU*2+MAX(STR,DEX)*2</f>
        <v>0</v>
      </c>
      <c r="F57" s="74" t="s">
        <v>124</v>
      </c>
    </row>
    <row r="58" spans="1:6" ht="16.5" customHeight="1" x14ac:dyDescent="0.2">
      <c r="A58" s="67">
        <v>56</v>
      </c>
      <c r="B58" s="101" t="s">
        <v>191</v>
      </c>
      <c r="C58" s="68" t="s">
        <v>89</v>
      </c>
      <c r="D58" s="75" t="s">
        <v>88</v>
      </c>
      <c r="E58" s="69">
        <f>EDU*4</f>
        <v>0</v>
      </c>
      <c r="F58" s="70" t="s">
        <v>192</v>
      </c>
    </row>
    <row r="59" spans="1:6" x14ac:dyDescent="0.2">
      <c r="A59" s="71">
        <v>57</v>
      </c>
      <c r="B59" s="102" t="s">
        <v>59</v>
      </c>
      <c r="C59" s="72" t="s">
        <v>193</v>
      </c>
      <c r="D59" s="73" t="s">
        <v>88</v>
      </c>
      <c r="E59" s="72">
        <f>EDU*4</f>
        <v>0</v>
      </c>
      <c r="F59" s="74" t="s">
        <v>656</v>
      </c>
    </row>
    <row r="60" spans="1:6" x14ac:dyDescent="0.2">
      <c r="A60" s="67">
        <v>58</v>
      </c>
      <c r="B60" s="101" t="s">
        <v>60</v>
      </c>
      <c r="C60" s="68" t="s">
        <v>194</v>
      </c>
      <c r="D60" s="75" t="s">
        <v>697</v>
      </c>
      <c r="E60" s="69">
        <f>EDU*2+MAX(DEX,APP)*2</f>
        <v>0</v>
      </c>
      <c r="F60" s="70" t="s">
        <v>657</v>
      </c>
    </row>
    <row r="61" spans="1:6" x14ac:dyDescent="0.2">
      <c r="A61" s="71">
        <v>59</v>
      </c>
      <c r="B61" s="102" t="s">
        <v>125</v>
      </c>
      <c r="C61" s="72" t="s">
        <v>195</v>
      </c>
      <c r="D61" s="73" t="s">
        <v>85</v>
      </c>
      <c r="E61" s="72">
        <f>EDU*2+APP*2</f>
        <v>0</v>
      </c>
      <c r="F61" s="74" t="s">
        <v>658</v>
      </c>
    </row>
    <row r="62" spans="1:6" x14ac:dyDescent="0.2">
      <c r="A62" s="67">
        <v>60</v>
      </c>
      <c r="B62" s="101" t="s">
        <v>126</v>
      </c>
      <c r="C62" s="68" t="s">
        <v>83</v>
      </c>
      <c r="D62" s="75" t="s">
        <v>696</v>
      </c>
      <c r="E62" s="69">
        <f>EDU*2+MAX(STR,DEX)*2</f>
        <v>0</v>
      </c>
      <c r="F62" s="70" t="s">
        <v>196</v>
      </c>
    </row>
    <row r="63" spans="1:6" ht="17.25" x14ac:dyDescent="0.2">
      <c r="A63" s="71">
        <v>61</v>
      </c>
      <c r="B63" s="102" t="s">
        <v>197</v>
      </c>
      <c r="C63" s="72" t="s">
        <v>198</v>
      </c>
      <c r="D63" s="73" t="s">
        <v>277</v>
      </c>
      <c r="E63" s="72">
        <f>EDU*2+APP*2</f>
        <v>0</v>
      </c>
      <c r="F63" s="74" t="s">
        <v>659</v>
      </c>
    </row>
    <row r="64" spans="1:6" x14ac:dyDescent="0.2">
      <c r="A64" s="67">
        <v>62</v>
      </c>
      <c r="B64" s="101" t="s">
        <v>128</v>
      </c>
      <c r="C64" s="68" t="s">
        <v>127</v>
      </c>
      <c r="D64" s="75" t="s">
        <v>697</v>
      </c>
      <c r="E64" s="69">
        <f>EDU*2+MAX(DEX,APP)*2</f>
        <v>0</v>
      </c>
      <c r="F64" s="70" t="s">
        <v>660</v>
      </c>
    </row>
    <row r="65" spans="1:6" ht="17.25" x14ac:dyDescent="0.2">
      <c r="A65" s="71">
        <v>63</v>
      </c>
      <c r="B65" s="102" t="s">
        <v>199</v>
      </c>
      <c r="C65" s="72" t="s">
        <v>200</v>
      </c>
      <c r="D65" s="73" t="s">
        <v>279</v>
      </c>
      <c r="E65" s="72">
        <f>EDU*2+STR*2</f>
        <v>0</v>
      </c>
      <c r="F65" s="74" t="s">
        <v>661</v>
      </c>
    </row>
    <row r="66" spans="1:6" x14ac:dyDescent="0.2">
      <c r="A66" s="67">
        <v>64</v>
      </c>
      <c r="B66" s="101" t="s">
        <v>129</v>
      </c>
      <c r="C66" s="68" t="s">
        <v>99</v>
      </c>
      <c r="D66" s="75" t="s">
        <v>88</v>
      </c>
      <c r="E66" s="69">
        <f>EDU*4</f>
        <v>0</v>
      </c>
      <c r="F66" s="70" t="s">
        <v>359</v>
      </c>
    </row>
    <row r="67" spans="1:6" x14ac:dyDescent="0.2">
      <c r="A67" s="71">
        <v>65</v>
      </c>
      <c r="B67" s="102" t="s">
        <v>201</v>
      </c>
      <c r="C67" s="72" t="s">
        <v>99</v>
      </c>
      <c r="D67" s="73" t="s">
        <v>88</v>
      </c>
      <c r="E67" s="72">
        <f>EDU*4</f>
        <v>0</v>
      </c>
      <c r="F67" s="74" t="s">
        <v>662</v>
      </c>
    </row>
    <row r="68" spans="1:6" x14ac:dyDescent="0.2">
      <c r="A68" s="67">
        <v>66</v>
      </c>
      <c r="B68" s="101" t="s">
        <v>202</v>
      </c>
      <c r="C68" s="68" t="s">
        <v>203</v>
      </c>
      <c r="D68" s="75" t="s">
        <v>88</v>
      </c>
      <c r="E68" s="69">
        <f>EDU*4</f>
        <v>0</v>
      </c>
      <c r="F68" s="70" t="s">
        <v>204</v>
      </c>
    </row>
    <row r="69" spans="1:6" x14ac:dyDescent="0.2">
      <c r="A69" s="71">
        <v>67</v>
      </c>
      <c r="B69" s="102" t="s">
        <v>205</v>
      </c>
      <c r="C69" s="72" t="s">
        <v>182</v>
      </c>
      <c r="D69" s="73" t="s">
        <v>88</v>
      </c>
      <c r="E69" s="72">
        <f>EDU*4</f>
        <v>0</v>
      </c>
      <c r="F69" s="74" t="s">
        <v>663</v>
      </c>
    </row>
    <row r="70" spans="1:6" x14ac:dyDescent="0.2">
      <c r="A70" s="67">
        <v>68</v>
      </c>
      <c r="B70" s="101" t="s">
        <v>664</v>
      </c>
      <c r="C70" s="68" t="s">
        <v>99</v>
      </c>
      <c r="D70" s="75" t="s">
        <v>696</v>
      </c>
      <c r="E70" s="69">
        <f>EDU*2+MAX(STR,DEX)*2</f>
        <v>0</v>
      </c>
      <c r="F70" s="70" t="s">
        <v>665</v>
      </c>
    </row>
    <row r="71" spans="1:6" ht="16.5" customHeight="1" x14ac:dyDescent="0.2">
      <c r="A71" s="71">
        <v>69</v>
      </c>
      <c r="B71" s="102" t="s">
        <v>206</v>
      </c>
      <c r="C71" s="72" t="s">
        <v>99</v>
      </c>
      <c r="D71" s="73" t="s">
        <v>696</v>
      </c>
      <c r="E71" s="72">
        <f>EDU*2+MAX(STR,DEX)*2</f>
        <v>0</v>
      </c>
      <c r="F71" s="74" t="s">
        <v>666</v>
      </c>
    </row>
    <row r="72" spans="1:6" ht="16.5" customHeight="1" x14ac:dyDescent="0.2">
      <c r="A72" s="67">
        <v>70</v>
      </c>
      <c r="B72" s="101" t="s">
        <v>207</v>
      </c>
      <c r="C72" s="68" t="s">
        <v>99</v>
      </c>
      <c r="D72" s="75" t="s">
        <v>696</v>
      </c>
      <c r="E72" s="69">
        <f>EDU*2+MAX(STR,DEX)*2</f>
        <v>0</v>
      </c>
      <c r="F72" s="70" t="s">
        <v>667</v>
      </c>
    </row>
    <row r="73" spans="1:6" x14ac:dyDescent="0.2">
      <c r="A73" s="71">
        <v>71</v>
      </c>
      <c r="B73" s="102" t="s">
        <v>208</v>
      </c>
      <c r="C73" s="72" t="s">
        <v>118</v>
      </c>
      <c r="D73" s="73" t="s">
        <v>88</v>
      </c>
      <c r="E73" s="72">
        <f>EDU*4</f>
        <v>0</v>
      </c>
      <c r="F73" s="74" t="s">
        <v>209</v>
      </c>
    </row>
    <row r="74" spans="1:6" x14ac:dyDescent="0.2">
      <c r="A74" s="67">
        <v>72</v>
      </c>
      <c r="B74" s="101" t="s">
        <v>210</v>
      </c>
      <c r="C74" s="68" t="s">
        <v>211</v>
      </c>
      <c r="D74" s="75" t="s">
        <v>88</v>
      </c>
      <c r="E74" s="69">
        <f>EDU*4</f>
        <v>0</v>
      </c>
      <c r="F74" s="70" t="s">
        <v>668</v>
      </c>
    </row>
    <row r="75" spans="1:6" x14ac:dyDescent="0.2">
      <c r="A75" s="71">
        <v>73</v>
      </c>
      <c r="B75" s="102" t="s">
        <v>212</v>
      </c>
      <c r="C75" s="72" t="s">
        <v>101</v>
      </c>
      <c r="D75" s="73" t="s">
        <v>88</v>
      </c>
      <c r="E75" s="72">
        <f>EDU*4</f>
        <v>0</v>
      </c>
      <c r="F75" s="74" t="s">
        <v>669</v>
      </c>
    </row>
    <row r="76" spans="1:6" ht="16.5" customHeight="1" x14ac:dyDescent="0.2">
      <c r="A76" s="67">
        <v>74</v>
      </c>
      <c r="B76" s="101" t="s">
        <v>213</v>
      </c>
      <c r="C76" s="68" t="s">
        <v>214</v>
      </c>
      <c r="D76" s="75" t="s">
        <v>696</v>
      </c>
      <c r="E76" s="69">
        <f>EDU*2+MAX(STR,DEX)*2</f>
        <v>0</v>
      </c>
      <c r="F76" s="70" t="s">
        <v>670</v>
      </c>
    </row>
    <row r="77" spans="1:6" ht="17.25" customHeight="1" x14ac:dyDescent="0.2">
      <c r="A77" s="71">
        <v>75</v>
      </c>
      <c r="B77" s="102" t="s">
        <v>215</v>
      </c>
      <c r="C77" s="72" t="s">
        <v>216</v>
      </c>
      <c r="D77" s="73" t="s">
        <v>85</v>
      </c>
      <c r="E77" s="72">
        <f>EDU*2+APP*2</f>
        <v>0</v>
      </c>
      <c r="F77" s="74" t="s">
        <v>671</v>
      </c>
    </row>
    <row r="78" spans="1:6" ht="17.25" customHeight="1" x14ac:dyDescent="0.2">
      <c r="A78" s="67">
        <v>76</v>
      </c>
      <c r="B78" s="101" t="s">
        <v>217</v>
      </c>
      <c r="C78" s="68" t="s">
        <v>111</v>
      </c>
      <c r="D78" s="75" t="s">
        <v>696</v>
      </c>
      <c r="E78" s="69">
        <f>EDU*2+MAX(STR,DEX)*2</f>
        <v>0</v>
      </c>
      <c r="F78" s="70" t="s">
        <v>672</v>
      </c>
    </row>
    <row r="79" spans="1:6" x14ac:dyDescent="0.2">
      <c r="A79" s="71">
        <v>77</v>
      </c>
      <c r="B79" s="102" t="s">
        <v>218</v>
      </c>
      <c r="C79" s="72" t="s">
        <v>182</v>
      </c>
      <c r="D79" s="73" t="s">
        <v>88</v>
      </c>
      <c r="E79" s="72">
        <f>EDU*4</f>
        <v>0</v>
      </c>
      <c r="F79" s="74" t="s">
        <v>219</v>
      </c>
    </row>
    <row r="80" spans="1:6" ht="16.5" customHeight="1" x14ac:dyDescent="0.2">
      <c r="A80" s="67">
        <v>78</v>
      </c>
      <c r="B80" s="101" t="s">
        <v>220</v>
      </c>
      <c r="C80" s="68" t="s">
        <v>99</v>
      </c>
      <c r="D80" s="75" t="s">
        <v>698</v>
      </c>
      <c r="E80" s="69">
        <f>EDU*2+MAX(DEX,POW)*2</f>
        <v>0</v>
      </c>
      <c r="F80" s="70" t="s">
        <v>673</v>
      </c>
    </row>
    <row r="81" spans="1:6" x14ac:dyDescent="0.2">
      <c r="A81" s="71">
        <v>79</v>
      </c>
      <c r="B81" s="102" t="s">
        <v>221</v>
      </c>
      <c r="C81" s="72" t="s">
        <v>99</v>
      </c>
      <c r="D81" s="73" t="s">
        <v>88</v>
      </c>
      <c r="E81" s="72">
        <f>EDU*4</f>
        <v>0</v>
      </c>
      <c r="F81" s="74" t="s">
        <v>222</v>
      </c>
    </row>
    <row r="82" spans="1:6" x14ac:dyDescent="0.2">
      <c r="A82" s="67">
        <v>80</v>
      </c>
      <c r="B82" s="101" t="s">
        <v>223</v>
      </c>
      <c r="C82" s="68" t="s">
        <v>224</v>
      </c>
      <c r="D82" s="75" t="s">
        <v>88</v>
      </c>
      <c r="E82" s="69">
        <f>EDU*4</f>
        <v>0</v>
      </c>
      <c r="F82" s="70" t="s">
        <v>282</v>
      </c>
    </row>
    <row r="83" spans="1:6" ht="16.5" customHeight="1" x14ac:dyDescent="0.2">
      <c r="A83" s="71">
        <v>81</v>
      </c>
      <c r="B83" s="102" t="s">
        <v>225</v>
      </c>
      <c r="C83" s="72" t="s">
        <v>226</v>
      </c>
      <c r="D83" s="73" t="s">
        <v>696</v>
      </c>
      <c r="E83" s="72">
        <f>EDU*2+MAX(STR,DEX)*2</f>
        <v>0</v>
      </c>
      <c r="F83" s="74" t="s">
        <v>674</v>
      </c>
    </row>
    <row r="84" spans="1:6" x14ac:dyDescent="0.2">
      <c r="A84" s="67">
        <v>82</v>
      </c>
      <c r="B84" s="101" t="s">
        <v>227</v>
      </c>
      <c r="C84" s="68" t="s">
        <v>99</v>
      </c>
      <c r="D84" s="75" t="s">
        <v>88</v>
      </c>
      <c r="E84" s="69">
        <f>EDU*4</f>
        <v>0</v>
      </c>
      <c r="F84" s="70" t="s">
        <v>675</v>
      </c>
    </row>
    <row r="85" spans="1:6" x14ac:dyDescent="0.2">
      <c r="A85" s="71">
        <v>83</v>
      </c>
      <c r="B85" s="102" t="s">
        <v>228</v>
      </c>
      <c r="C85" s="72" t="s">
        <v>229</v>
      </c>
      <c r="D85" s="73" t="s">
        <v>88</v>
      </c>
      <c r="E85" s="72">
        <f>EDU*4</f>
        <v>0</v>
      </c>
      <c r="F85" s="74" t="s">
        <v>230</v>
      </c>
    </row>
    <row r="86" spans="1:6" x14ac:dyDescent="0.2">
      <c r="A86" s="67">
        <v>84</v>
      </c>
      <c r="B86" s="101" t="s">
        <v>231</v>
      </c>
      <c r="C86" s="68" t="s">
        <v>99</v>
      </c>
      <c r="D86" s="75" t="s">
        <v>88</v>
      </c>
      <c r="E86" s="69">
        <f>EDU*4</f>
        <v>0</v>
      </c>
      <c r="F86" s="70" t="s">
        <v>676</v>
      </c>
    </row>
    <row r="87" spans="1:6" x14ac:dyDescent="0.2">
      <c r="A87" s="71">
        <v>85</v>
      </c>
      <c r="B87" s="102" t="s">
        <v>232</v>
      </c>
      <c r="C87" s="72" t="s">
        <v>182</v>
      </c>
      <c r="D87" s="73" t="s">
        <v>88</v>
      </c>
      <c r="E87" s="72">
        <f>EDU*4</f>
        <v>0</v>
      </c>
      <c r="F87" s="74" t="s">
        <v>677</v>
      </c>
    </row>
    <row r="88" spans="1:6" ht="16.5" customHeight="1" x14ac:dyDescent="0.2">
      <c r="A88" s="67">
        <v>86</v>
      </c>
      <c r="B88" s="101" t="s">
        <v>233</v>
      </c>
      <c r="C88" s="68" t="s">
        <v>214</v>
      </c>
      <c r="D88" s="75" t="s">
        <v>104</v>
      </c>
      <c r="E88" s="69">
        <f>EDU*2+DEX*2</f>
        <v>0</v>
      </c>
      <c r="F88" s="70" t="s">
        <v>678</v>
      </c>
    </row>
    <row r="89" spans="1:6" x14ac:dyDescent="0.2">
      <c r="A89" s="71">
        <v>87</v>
      </c>
      <c r="B89" s="102" t="s">
        <v>234</v>
      </c>
      <c r="C89" s="72" t="s">
        <v>111</v>
      </c>
      <c r="D89" s="73" t="s">
        <v>88</v>
      </c>
      <c r="E89" s="72">
        <f>EDU*4</f>
        <v>0</v>
      </c>
      <c r="F89" s="74" t="s">
        <v>679</v>
      </c>
    </row>
    <row r="90" spans="1:6" ht="16.5" customHeight="1" x14ac:dyDescent="0.2">
      <c r="A90" s="67">
        <v>88</v>
      </c>
      <c r="B90" s="101" t="s">
        <v>235</v>
      </c>
      <c r="C90" s="68" t="s">
        <v>148</v>
      </c>
      <c r="D90" s="75" t="s">
        <v>696</v>
      </c>
      <c r="E90" s="69">
        <f>EDU*2+MAX(STR,DEX)*2</f>
        <v>0</v>
      </c>
      <c r="F90" s="70" t="s">
        <v>680</v>
      </c>
    </row>
    <row r="91" spans="1:6" ht="16.5" customHeight="1" x14ac:dyDescent="0.2">
      <c r="A91" s="71">
        <v>89</v>
      </c>
      <c r="B91" s="102" t="s">
        <v>236</v>
      </c>
      <c r="C91" s="72" t="s">
        <v>99</v>
      </c>
      <c r="D91" s="73" t="s">
        <v>696</v>
      </c>
      <c r="E91" s="72">
        <f>EDU*2+MAX(STR,DEX)*2</f>
        <v>0</v>
      </c>
      <c r="F91" s="74" t="s">
        <v>237</v>
      </c>
    </row>
    <row r="92" spans="1:6" ht="16.5" customHeight="1" x14ac:dyDescent="0.2">
      <c r="A92" s="67">
        <v>90</v>
      </c>
      <c r="B92" s="101" t="s">
        <v>238</v>
      </c>
      <c r="C92" s="68" t="s">
        <v>99</v>
      </c>
      <c r="D92" s="75" t="s">
        <v>696</v>
      </c>
      <c r="E92" s="69">
        <f>EDU*2+MAX(STR,DEX)*2</f>
        <v>0</v>
      </c>
      <c r="F92" s="70" t="s">
        <v>681</v>
      </c>
    </row>
    <row r="93" spans="1:6" x14ac:dyDescent="0.2">
      <c r="A93" s="71">
        <v>91</v>
      </c>
      <c r="B93" s="102" t="s">
        <v>239</v>
      </c>
      <c r="C93" s="72" t="s">
        <v>214</v>
      </c>
      <c r="D93" s="73" t="s">
        <v>88</v>
      </c>
      <c r="E93" s="72">
        <f>EDU*4</f>
        <v>0</v>
      </c>
      <c r="F93" s="74" t="s">
        <v>240</v>
      </c>
    </row>
    <row r="94" spans="1:6" ht="16.5" customHeight="1" x14ac:dyDescent="0.2">
      <c r="A94" s="67">
        <v>92</v>
      </c>
      <c r="B94" s="101" t="s">
        <v>241</v>
      </c>
      <c r="C94" s="68" t="s">
        <v>242</v>
      </c>
      <c r="D94" s="75" t="s">
        <v>696</v>
      </c>
      <c r="E94" s="69">
        <f>EDU*2+MAX(STR,DEX)*2</f>
        <v>0</v>
      </c>
      <c r="F94" s="70" t="s">
        <v>682</v>
      </c>
    </row>
    <row r="95" spans="1:6" ht="17.25" customHeight="1" x14ac:dyDescent="0.2">
      <c r="A95" s="71">
        <v>93</v>
      </c>
      <c r="B95" s="102" t="s">
        <v>243</v>
      </c>
      <c r="C95" s="72" t="s">
        <v>244</v>
      </c>
      <c r="D95" s="73" t="s">
        <v>85</v>
      </c>
      <c r="E95" s="72">
        <f>EDU*2+APP*2</f>
        <v>0</v>
      </c>
      <c r="F95" s="74" t="s">
        <v>683</v>
      </c>
    </row>
    <row r="96" spans="1:6" x14ac:dyDescent="0.2">
      <c r="A96" s="67">
        <v>94</v>
      </c>
      <c r="B96" s="101" t="s">
        <v>245</v>
      </c>
      <c r="C96" s="68" t="s">
        <v>118</v>
      </c>
      <c r="D96" s="75" t="s">
        <v>88</v>
      </c>
      <c r="E96" s="69">
        <f>EDU*4</f>
        <v>0</v>
      </c>
      <c r="F96" s="70" t="s">
        <v>130</v>
      </c>
    </row>
    <row r="97" spans="1:6" x14ac:dyDescent="0.2">
      <c r="A97" s="71">
        <v>95</v>
      </c>
      <c r="B97" s="102" t="s">
        <v>246</v>
      </c>
      <c r="C97" s="72" t="s">
        <v>89</v>
      </c>
      <c r="D97" s="73" t="s">
        <v>88</v>
      </c>
      <c r="E97" s="72">
        <f>EDU*4</f>
        <v>0</v>
      </c>
      <c r="F97" s="74" t="s">
        <v>247</v>
      </c>
    </row>
    <row r="98" spans="1:6" x14ac:dyDescent="0.2">
      <c r="A98" s="67">
        <v>96</v>
      </c>
      <c r="B98" s="101" t="s">
        <v>248</v>
      </c>
      <c r="C98" s="68" t="s">
        <v>99</v>
      </c>
      <c r="D98" s="75" t="s">
        <v>88</v>
      </c>
      <c r="E98" s="69">
        <f>EDU*4</f>
        <v>0</v>
      </c>
      <c r="F98" s="70" t="s">
        <v>684</v>
      </c>
    </row>
    <row r="99" spans="1:6" x14ac:dyDescent="0.2">
      <c r="A99" s="71">
        <v>97</v>
      </c>
      <c r="B99" s="102" t="s">
        <v>249</v>
      </c>
      <c r="C99" s="72" t="s">
        <v>99</v>
      </c>
      <c r="D99" s="73" t="s">
        <v>88</v>
      </c>
      <c r="E99" s="72">
        <f>EDU*4</f>
        <v>0</v>
      </c>
      <c r="F99" s="74" t="s">
        <v>250</v>
      </c>
    </row>
    <row r="100" spans="1:6" x14ac:dyDescent="0.2">
      <c r="A100" s="67">
        <v>98</v>
      </c>
      <c r="B100" s="101" t="s">
        <v>251</v>
      </c>
      <c r="C100" s="68" t="s">
        <v>149</v>
      </c>
      <c r="D100" s="75" t="s">
        <v>88</v>
      </c>
      <c r="E100" s="69">
        <f>EDU*4</f>
        <v>0</v>
      </c>
      <c r="F100" s="70" t="s">
        <v>685</v>
      </c>
    </row>
    <row r="101" spans="1:6" ht="17.25" customHeight="1" x14ac:dyDescent="0.2">
      <c r="A101" s="71">
        <v>99</v>
      </c>
      <c r="B101" s="102" t="s">
        <v>252</v>
      </c>
      <c r="C101" s="72" t="s">
        <v>101</v>
      </c>
      <c r="D101" s="73" t="s">
        <v>277</v>
      </c>
      <c r="E101" s="72">
        <f>EDU*2+APP*2</f>
        <v>0</v>
      </c>
      <c r="F101" s="74" t="s">
        <v>253</v>
      </c>
    </row>
    <row r="102" spans="1:6" x14ac:dyDescent="0.2">
      <c r="A102" s="67">
        <v>100</v>
      </c>
      <c r="B102" s="101" t="s">
        <v>254</v>
      </c>
      <c r="C102" s="68" t="s">
        <v>91</v>
      </c>
      <c r="D102" s="75" t="s">
        <v>88</v>
      </c>
      <c r="E102" s="69">
        <f>EDU*4</f>
        <v>0</v>
      </c>
      <c r="F102" s="70" t="s">
        <v>686</v>
      </c>
    </row>
    <row r="103" spans="1:6" ht="17.25" customHeight="1" x14ac:dyDescent="0.2">
      <c r="A103" s="71">
        <v>101</v>
      </c>
      <c r="B103" s="102" t="s">
        <v>255</v>
      </c>
      <c r="C103" s="72" t="s">
        <v>99</v>
      </c>
      <c r="D103" s="73" t="s">
        <v>697</v>
      </c>
      <c r="E103" s="72">
        <f>EDU*2+MAX(DEX,APP)*2</f>
        <v>0</v>
      </c>
      <c r="F103" s="74" t="s">
        <v>687</v>
      </c>
    </row>
    <row r="104" spans="1:6" ht="17.25" customHeight="1" x14ac:dyDescent="0.2">
      <c r="A104" s="67">
        <v>102</v>
      </c>
      <c r="B104" s="101" t="s">
        <v>256</v>
      </c>
      <c r="C104" s="68" t="s">
        <v>149</v>
      </c>
      <c r="D104" s="75" t="s">
        <v>697</v>
      </c>
      <c r="E104" s="69">
        <f>EDU*2+MAX(DEX,APP)*2</f>
        <v>0</v>
      </c>
      <c r="F104" s="70" t="s">
        <v>688</v>
      </c>
    </row>
    <row r="105" spans="1:6" ht="16.5" customHeight="1" x14ac:dyDescent="0.2">
      <c r="A105" s="71">
        <v>103</v>
      </c>
      <c r="B105" s="102" t="s">
        <v>257</v>
      </c>
      <c r="C105" s="72" t="s">
        <v>99</v>
      </c>
      <c r="D105" s="73" t="s">
        <v>696</v>
      </c>
      <c r="E105" s="72">
        <f>EDU*2+MAX(STR,DEX)*2</f>
        <v>0</v>
      </c>
      <c r="F105" s="74" t="s">
        <v>258</v>
      </c>
    </row>
    <row r="106" spans="1:6" ht="17.25" customHeight="1" x14ac:dyDescent="0.2">
      <c r="A106" s="67">
        <v>104</v>
      </c>
      <c r="B106" s="101" t="s">
        <v>259</v>
      </c>
      <c r="C106" s="68" t="s">
        <v>110</v>
      </c>
      <c r="D106" s="75" t="s">
        <v>697</v>
      </c>
      <c r="E106" s="69">
        <f>EDU*2+MAX(DEX,APP)*2</f>
        <v>0</v>
      </c>
      <c r="F106" s="70" t="s">
        <v>689</v>
      </c>
    </row>
    <row r="107" spans="1:6" x14ac:dyDescent="0.2">
      <c r="A107" s="71">
        <v>105</v>
      </c>
      <c r="B107" s="102" t="s">
        <v>260</v>
      </c>
      <c r="C107" s="72" t="s">
        <v>261</v>
      </c>
      <c r="D107" s="73" t="s">
        <v>88</v>
      </c>
      <c r="E107" s="72">
        <f>EDU*4</f>
        <v>0</v>
      </c>
      <c r="F107" s="74" t="s">
        <v>262</v>
      </c>
    </row>
    <row r="108" spans="1:6" ht="16.5" customHeight="1" x14ac:dyDescent="0.2">
      <c r="A108" s="67">
        <v>106</v>
      </c>
      <c r="B108" s="101" t="s">
        <v>263</v>
      </c>
      <c r="C108" s="68" t="s">
        <v>264</v>
      </c>
      <c r="D108" s="75" t="s">
        <v>696</v>
      </c>
      <c r="E108" s="69">
        <f>EDU*2+MAX(STR,DEX)*2</f>
        <v>0</v>
      </c>
      <c r="F108" s="70" t="s">
        <v>690</v>
      </c>
    </row>
    <row r="109" spans="1:6" ht="16.5" customHeight="1" x14ac:dyDescent="0.2">
      <c r="A109" s="71">
        <v>107</v>
      </c>
      <c r="B109" s="102" t="s">
        <v>265</v>
      </c>
      <c r="C109" s="72" t="s">
        <v>281</v>
      </c>
      <c r="D109" s="73" t="s">
        <v>696</v>
      </c>
      <c r="E109" s="72">
        <f>EDU*2+MAX(STR,DEX)*2</f>
        <v>0</v>
      </c>
      <c r="F109" s="74" t="s">
        <v>691</v>
      </c>
    </row>
    <row r="110" spans="1:6" x14ac:dyDescent="0.2">
      <c r="A110" s="67">
        <v>108</v>
      </c>
      <c r="B110" s="101" t="s">
        <v>266</v>
      </c>
      <c r="C110" s="68" t="s">
        <v>149</v>
      </c>
      <c r="D110" s="75" t="s">
        <v>88</v>
      </c>
      <c r="E110" s="69">
        <f>EDU*4</f>
        <v>0</v>
      </c>
      <c r="F110" s="70" t="s">
        <v>692</v>
      </c>
    </row>
    <row r="111" spans="1:6" x14ac:dyDescent="0.2">
      <c r="A111" s="71">
        <v>109</v>
      </c>
      <c r="B111" s="102" t="s">
        <v>267</v>
      </c>
      <c r="C111" s="72" t="s">
        <v>244</v>
      </c>
      <c r="D111" s="73" t="s">
        <v>88</v>
      </c>
      <c r="E111" s="72">
        <f>EDU*4</f>
        <v>0</v>
      </c>
      <c r="F111" s="74" t="s">
        <v>268</v>
      </c>
    </row>
    <row r="112" spans="1:6" ht="17.25" customHeight="1" x14ac:dyDescent="0.2">
      <c r="A112" s="67">
        <v>110</v>
      </c>
      <c r="B112" s="101" t="s">
        <v>269</v>
      </c>
      <c r="C112" s="68" t="s">
        <v>83</v>
      </c>
      <c r="D112" s="75" t="s">
        <v>697</v>
      </c>
      <c r="E112" s="69">
        <f>EDU*2+MAX(DEX,APP)*2</f>
        <v>0</v>
      </c>
      <c r="F112" s="70" t="s">
        <v>693</v>
      </c>
    </row>
    <row r="113" spans="1:6" x14ac:dyDescent="0.2">
      <c r="A113" s="71">
        <v>111</v>
      </c>
      <c r="B113" s="102" t="s">
        <v>270</v>
      </c>
      <c r="C113" s="72" t="s">
        <v>83</v>
      </c>
      <c r="D113" s="73" t="s">
        <v>88</v>
      </c>
      <c r="E113" s="72">
        <f>EDU*4</f>
        <v>0</v>
      </c>
      <c r="F113" s="74" t="s">
        <v>271</v>
      </c>
    </row>
    <row r="114" spans="1:6" x14ac:dyDescent="0.2">
      <c r="A114" s="67">
        <v>112</v>
      </c>
      <c r="B114" s="101" t="s">
        <v>272</v>
      </c>
      <c r="C114" s="68" t="s">
        <v>273</v>
      </c>
      <c r="D114" s="75" t="s">
        <v>88</v>
      </c>
      <c r="E114" s="69">
        <f>EDU*4</f>
        <v>0</v>
      </c>
      <c r="F114" s="70" t="s">
        <v>694</v>
      </c>
    </row>
    <row r="115" spans="1:6" ht="16.5" customHeight="1" x14ac:dyDescent="0.2">
      <c r="A115" s="71">
        <v>113</v>
      </c>
      <c r="B115" s="102" t="s">
        <v>274</v>
      </c>
      <c r="C115" s="72" t="s">
        <v>216</v>
      </c>
      <c r="D115" s="73" t="s">
        <v>699</v>
      </c>
      <c r="E115" s="72">
        <f>EDU*2+MAX(APP,POW)*2</f>
        <v>0</v>
      </c>
      <c r="F115" s="74" t="s">
        <v>275</v>
      </c>
    </row>
    <row r="116" spans="1:6" ht="17.25" thickBot="1" x14ac:dyDescent="0.25">
      <c r="A116" s="94">
        <v>114</v>
      </c>
      <c r="B116" s="103" t="s">
        <v>276</v>
      </c>
      <c r="C116" s="95" t="s">
        <v>101</v>
      </c>
      <c r="D116" s="96" t="s">
        <v>88</v>
      </c>
      <c r="E116" s="97">
        <f>EDU*4</f>
        <v>0</v>
      </c>
      <c r="F116" s="98" t="s">
        <v>695</v>
      </c>
    </row>
  </sheetData>
  <sheetProtection algorithmName="SHA-512" hashValue="x98fxv2XUkZYPnaQ6tDzSGj7eZSdq+xHDowtP/fWWzAK5FlaM3sUny9IqQutBw3+ioyrJYoUtFQbsElmULCjrA==" saltValue="utKdct5/t5ad5t/ePOEfZA=="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H14" sqref="H14:L14"/>
    </sheetView>
  </sheetViews>
  <sheetFormatPr defaultColWidth="9" defaultRowHeight="16.5" x14ac:dyDescent="0.2"/>
  <cols>
    <col min="1" max="1" width="3.5" style="20" customWidth="1"/>
    <col min="2" max="3" width="9.25" style="20" bestFit="1" customWidth="1"/>
    <col min="4" max="5" width="11.25" style="20" bestFit="1" customWidth="1"/>
    <col min="6" max="6" width="10.75" style="20" bestFit="1" customWidth="1"/>
    <col min="7" max="7" width="3.5" style="20" customWidth="1"/>
    <col min="8" max="9" width="9.25" style="20" bestFit="1" customWidth="1"/>
    <col min="10" max="10" width="10.125" style="20" bestFit="1" customWidth="1"/>
    <col min="11" max="11" width="12.625" style="20" customWidth="1"/>
    <col min="12" max="12" width="9.25" style="20" bestFit="1" customWidth="1"/>
    <col min="13" max="16384" width="9" style="20"/>
  </cols>
  <sheetData>
    <row r="1" spans="2:12" ht="17.25" thickBot="1" x14ac:dyDescent="0.25"/>
    <row r="2" spans="2:12" x14ac:dyDescent="0.2">
      <c r="B2" s="601" t="s">
        <v>492</v>
      </c>
      <c r="C2" s="602"/>
      <c r="D2" s="602"/>
      <c r="E2" s="602"/>
      <c r="F2" s="603"/>
      <c r="H2" s="601" t="s">
        <v>579</v>
      </c>
      <c r="I2" s="602"/>
      <c r="J2" s="602"/>
      <c r="K2" s="602"/>
      <c r="L2" s="603"/>
    </row>
    <row r="3" spans="2:12" x14ac:dyDescent="0.2">
      <c r="B3" s="22" t="s">
        <v>461</v>
      </c>
      <c r="C3" s="21" t="s">
        <v>402</v>
      </c>
      <c r="D3" s="21" t="s">
        <v>462</v>
      </c>
      <c r="E3" s="21" t="s">
        <v>463</v>
      </c>
      <c r="F3" s="23" t="s">
        <v>464</v>
      </c>
      <c r="H3" s="22" t="s">
        <v>461</v>
      </c>
      <c r="I3" s="21" t="s">
        <v>402</v>
      </c>
      <c r="J3" s="21" t="s">
        <v>462</v>
      </c>
      <c r="K3" s="21" t="s">
        <v>463</v>
      </c>
      <c r="L3" s="23" t="s">
        <v>464</v>
      </c>
    </row>
    <row r="4" spans="2:12" x14ac:dyDescent="0.2">
      <c r="B4" s="15" t="s">
        <v>465</v>
      </c>
      <c r="C4" s="18" t="s">
        <v>473</v>
      </c>
      <c r="D4" s="18" t="s">
        <v>479</v>
      </c>
      <c r="E4" s="18" t="s">
        <v>34</v>
      </c>
      <c r="F4" s="24" t="s">
        <v>479</v>
      </c>
      <c r="H4" s="15" t="s">
        <v>465</v>
      </c>
      <c r="I4" s="18" t="s">
        <v>473</v>
      </c>
      <c r="J4" s="18" t="s">
        <v>488</v>
      </c>
      <c r="K4" s="18" t="s">
        <v>34</v>
      </c>
      <c r="L4" s="24" t="s">
        <v>488</v>
      </c>
    </row>
    <row r="5" spans="2:12" x14ac:dyDescent="0.2">
      <c r="B5" s="16" t="s">
        <v>466</v>
      </c>
      <c r="C5" s="14" t="s">
        <v>471</v>
      </c>
      <c r="D5" s="17" t="s">
        <v>477</v>
      </c>
      <c r="E5" s="17" t="s">
        <v>478</v>
      </c>
      <c r="F5" s="25" t="s">
        <v>460</v>
      </c>
      <c r="H5" s="16" t="s">
        <v>466</v>
      </c>
      <c r="I5" s="14" t="s">
        <v>471</v>
      </c>
      <c r="J5" s="17" t="s">
        <v>482</v>
      </c>
      <c r="K5" s="17" t="s">
        <v>495</v>
      </c>
      <c r="L5" s="25" t="s">
        <v>501</v>
      </c>
    </row>
    <row r="6" spans="2:12" x14ac:dyDescent="0.2">
      <c r="B6" s="15" t="s">
        <v>467</v>
      </c>
      <c r="C6" s="18" t="s">
        <v>472</v>
      </c>
      <c r="D6" s="18" t="s">
        <v>480</v>
      </c>
      <c r="E6" s="19" t="s">
        <v>484</v>
      </c>
      <c r="F6" s="26" t="s">
        <v>488</v>
      </c>
      <c r="H6" s="15" t="s">
        <v>467</v>
      </c>
      <c r="I6" s="18" t="s">
        <v>472</v>
      </c>
      <c r="J6" s="18" t="s">
        <v>493</v>
      </c>
      <c r="K6" s="19" t="s">
        <v>497</v>
      </c>
      <c r="L6" s="26" t="s">
        <v>502</v>
      </c>
    </row>
    <row r="7" spans="2:12" x14ac:dyDescent="0.2">
      <c r="B7" s="16" t="s">
        <v>468</v>
      </c>
      <c r="C7" s="14" t="s">
        <v>474</v>
      </c>
      <c r="D7" s="14" t="s">
        <v>481</v>
      </c>
      <c r="E7" s="17" t="s">
        <v>485</v>
      </c>
      <c r="F7" s="25" t="s">
        <v>489</v>
      </c>
      <c r="H7" s="16" t="s">
        <v>468</v>
      </c>
      <c r="I7" s="14" t="s">
        <v>474</v>
      </c>
      <c r="J7" s="14" t="s">
        <v>494</v>
      </c>
      <c r="K7" s="17" t="s">
        <v>498</v>
      </c>
      <c r="L7" s="25" t="s">
        <v>503</v>
      </c>
    </row>
    <row r="8" spans="2:12" x14ac:dyDescent="0.2">
      <c r="B8" s="15" t="s">
        <v>469</v>
      </c>
      <c r="C8" s="18" t="s">
        <v>475</v>
      </c>
      <c r="D8" s="18" t="s">
        <v>482</v>
      </c>
      <c r="E8" s="19" t="s">
        <v>486</v>
      </c>
      <c r="F8" s="26" t="s">
        <v>490</v>
      </c>
      <c r="H8" s="15" t="s">
        <v>469</v>
      </c>
      <c r="I8" s="18" t="s">
        <v>475</v>
      </c>
      <c r="J8" s="18" t="s">
        <v>495</v>
      </c>
      <c r="K8" s="19" t="s">
        <v>499</v>
      </c>
      <c r="L8" s="26" t="s">
        <v>491</v>
      </c>
    </row>
    <row r="9" spans="2:12" x14ac:dyDescent="0.2">
      <c r="B9" s="16" t="s">
        <v>470</v>
      </c>
      <c r="C9" s="14" t="s">
        <v>476</v>
      </c>
      <c r="D9" s="14" t="s">
        <v>483</v>
      </c>
      <c r="E9" s="17" t="s">
        <v>487</v>
      </c>
      <c r="F9" s="25" t="s">
        <v>491</v>
      </c>
      <c r="H9" s="16" t="s">
        <v>470</v>
      </c>
      <c r="I9" s="14" t="s">
        <v>476</v>
      </c>
      <c r="J9" s="14" t="s">
        <v>496</v>
      </c>
      <c r="K9" s="17" t="s">
        <v>500</v>
      </c>
      <c r="L9" s="25" t="s">
        <v>504</v>
      </c>
    </row>
    <row r="10" spans="2:12" ht="17.25" thickBot="1" x14ac:dyDescent="0.25">
      <c r="B10" s="604" t="s">
        <v>539</v>
      </c>
      <c r="C10" s="605"/>
      <c r="D10" s="605"/>
      <c r="E10" s="605"/>
      <c r="F10" s="606"/>
      <c r="H10" s="604" t="s">
        <v>539</v>
      </c>
      <c r="I10" s="605"/>
      <c r="J10" s="605"/>
      <c r="K10" s="605"/>
      <c r="L10" s="606"/>
    </row>
    <row r="11" spans="2:12" ht="17.25" thickBot="1" x14ac:dyDescent="0.25"/>
    <row r="12" spans="2:12" x14ac:dyDescent="0.2">
      <c r="B12" s="601" t="s">
        <v>505</v>
      </c>
      <c r="C12" s="602"/>
      <c r="D12" s="602"/>
      <c r="E12" s="602"/>
      <c r="F12" s="603"/>
    </row>
    <row r="13" spans="2:12" x14ac:dyDescent="0.2">
      <c r="B13" s="22" t="s">
        <v>461</v>
      </c>
      <c r="C13" s="21" t="s">
        <v>402</v>
      </c>
      <c r="D13" s="21" t="s">
        <v>462</v>
      </c>
      <c r="E13" s="21" t="s">
        <v>463</v>
      </c>
      <c r="F13" s="23" t="s">
        <v>464</v>
      </c>
    </row>
    <row r="14" spans="2:12" x14ac:dyDescent="0.2">
      <c r="B14" s="15" t="s">
        <v>465</v>
      </c>
      <c r="C14" s="18" t="s">
        <v>473</v>
      </c>
      <c r="D14" s="18" t="s">
        <v>506</v>
      </c>
      <c r="E14" s="18" t="s">
        <v>34</v>
      </c>
      <c r="F14" s="24" t="s">
        <v>507</v>
      </c>
      <c r="H14" s="598" t="s">
        <v>616</v>
      </c>
      <c r="I14" s="598"/>
      <c r="J14" s="598"/>
      <c r="K14" s="598"/>
      <c r="L14" s="598"/>
    </row>
    <row r="15" spans="2:12" x14ac:dyDescent="0.2">
      <c r="B15" s="16" t="s">
        <v>466</v>
      </c>
      <c r="C15" s="14" t="s">
        <v>471</v>
      </c>
      <c r="D15" s="17" t="s">
        <v>477</v>
      </c>
      <c r="E15" s="17" t="s">
        <v>478</v>
      </c>
      <c r="F15" s="25" t="s">
        <v>511</v>
      </c>
    </row>
    <row r="16" spans="2:12" x14ac:dyDescent="0.2">
      <c r="B16" s="15" t="s">
        <v>467</v>
      </c>
      <c r="C16" s="18" t="s">
        <v>472</v>
      </c>
      <c r="D16" s="18" t="s">
        <v>478</v>
      </c>
      <c r="E16" s="19" t="s">
        <v>482</v>
      </c>
      <c r="F16" s="26" t="s">
        <v>541</v>
      </c>
    </row>
    <row r="17" spans="2:12" x14ac:dyDescent="0.2">
      <c r="B17" s="16" t="s">
        <v>468</v>
      </c>
      <c r="C17" s="14" t="s">
        <v>474</v>
      </c>
      <c r="D17" s="14" t="s">
        <v>508</v>
      </c>
      <c r="E17" s="17" t="s">
        <v>495</v>
      </c>
      <c r="F17" s="25" t="s">
        <v>512</v>
      </c>
    </row>
    <row r="18" spans="2:12" x14ac:dyDescent="0.2">
      <c r="B18" s="15" t="s">
        <v>469</v>
      </c>
      <c r="C18" s="18" t="s">
        <v>475</v>
      </c>
      <c r="D18" s="18" t="s">
        <v>484</v>
      </c>
      <c r="E18" s="19" t="s">
        <v>485</v>
      </c>
      <c r="F18" s="26" t="s">
        <v>489</v>
      </c>
    </row>
    <row r="19" spans="2:12" x14ac:dyDescent="0.2">
      <c r="B19" s="16" t="s">
        <v>470</v>
      </c>
      <c r="C19" s="14" t="s">
        <v>476</v>
      </c>
      <c r="D19" s="14" t="s">
        <v>509</v>
      </c>
      <c r="E19" s="17" t="s">
        <v>510</v>
      </c>
      <c r="F19" s="25" t="s">
        <v>490</v>
      </c>
    </row>
    <row r="20" spans="2:12" x14ac:dyDescent="0.2">
      <c r="B20" s="607" t="s">
        <v>540</v>
      </c>
      <c r="C20" s="608"/>
      <c r="D20" s="608"/>
      <c r="E20" s="608"/>
      <c r="F20" s="609"/>
    </row>
    <row r="21" spans="2:12" ht="17.25" thickBot="1" x14ac:dyDescent="0.25">
      <c r="B21" s="610"/>
      <c r="C21" s="611"/>
      <c r="D21" s="611"/>
      <c r="E21" s="611"/>
      <c r="F21" s="612"/>
    </row>
    <row r="24" spans="2:12" ht="17.25" thickBot="1" x14ac:dyDescent="0.25"/>
    <row r="25" spans="2:12" x14ac:dyDescent="0.2">
      <c r="B25" s="601" t="s">
        <v>587</v>
      </c>
      <c r="C25" s="602"/>
      <c r="D25" s="602"/>
      <c r="E25" s="602"/>
      <c r="F25" s="603"/>
      <c r="H25" s="601" t="s">
        <v>586</v>
      </c>
      <c r="I25" s="602"/>
      <c r="J25" s="602"/>
      <c r="K25" s="602"/>
      <c r="L25" s="603"/>
    </row>
    <row r="26" spans="2:12" x14ac:dyDescent="0.2">
      <c r="B26" s="22" t="s">
        <v>461</v>
      </c>
      <c r="C26" s="21" t="s">
        <v>402</v>
      </c>
      <c r="D26" s="21" t="s">
        <v>462</v>
      </c>
      <c r="E26" s="21" t="s">
        <v>463</v>
      </c>
      <c r="F26" s="23" t="s">
        <v>464</v>
      </c>
      <c r="H26" s="22" t="s">
        <v>461</v>
      </c>
      <c r="I26" s="21" t="s">
        <v>402</v>
      </c>
      <c r="J26" s="21" t="s">
        <v>462</v>
      </c>
      <c r="K26" s="21" t="s">
        <v>463</v>
      </c>
      <c r="L26" s="23" t="s">
        <v>464</v>
      </c>
    </row>
    <row r="27" spans="2:12" x14ac:dyDescent="0.2">
      <c r="B27" s="15" t="s">
        <v>465</v>
      </c>
      <c r="C27" s="18" t="s">
        <v>473</v>
      </c>
      <c r="D27" s="18" t="s">
        <v>514</v>
      </c>
      <c r="E27" s="18" t="s">
        <v>34</v>
      </c>
      <c r="F27" s="24" t="s">
        <v>489</v>
      </c>
      <c r="H27" s="15" t="s">
        <v>465</v>
      </c>
      <c r="I27" s="18" t="s">
        <v>473</v>
      </c>
      <c r="J27" s="18" t="s">
        <v>503</v>
      </c>
      <c r="K27" s="18" t="s">
        <v>34</v>
      </c>
      <c r="L27" s="24" t="s">
        <v>533</v>
      </c>
    </row>
    <row r="28" spans="2:12" x14ac:dyDescent="0.2">
      <c r="B28" s="16" t="s">
        <v>466</v>
      </c>
      <c r="C28" s="14" t="s">
        <v>471</v>
      </c>
      <c r="D28" s="17" t="s">
        <v>494</v>
      </c>
      <c r="E28" s="17" t="s">
        <v>497</v>
      </c>
      <c r="F28" s="25" t="s">
        <v>514</v>
      </c>
      <c r="H28" s="16" t="s">
        <v>466</v>
      </c>
      <c r="I28" s="14" t="s">
        <v>471</v>
      </c>
      <c r="J28" s="17" t="s">
        <v>524</v>
      </c>
      <c r="K28" s="17" t="s">
        <v>528</v>
      </c>
      <c r="L28" s="25" t="s">
        <v>534</v>
      </c>
    </row>
    <row r="29" spans="2:12" x14ac:dyDescent="0.2">
      <c r="B29" s="15" t="s">
        <v>467</v>
      </c>
      <c r="C29" s="18" t="s">
        <v>472</v>
      </c>
      <c r="D29" s="18" t="s">
        <v>495</v>
      </c>
      <c r="E29" s="19" t="s">
        <v>517</v>
      </c>
      <c r="F29" s="26" t="s">
        <v>503</v>
      </c>
      <c r="H29" s="15" t="s">
        <v>467</v>
      </c>
      <c r="I29" s="18" t="s">
        <v>472</v>
      </c>
      <c r="J29" s="18" t="s">
        <v>525</v>
      </c>
      <c r="K29" s="19" t="s">
        <v>529</v>
      </c>
      <c r="L29" s="26" t="s">
        <v>535</v>
      </c>
    </row>
    <row r="30" spans="2:12" x14ac:dyDescent="0.2">
      <c r="B30" s="16" t="s">
        <v>468</v>
      </c>
      <c r="C30" s="14" t="s">
        <v>474</v>
      </c>
      <c r="D30" s="14" t="s">
        <v>485</v>
      </c>
      <c r="E30" s="17" t="s">
        <v>518</v>
      </c>
      <c r="F30" s="25" t="s">
        <v>491</v>
      </c>
      <c r="H30" s="16" t="s">
        <v>468</v>
      </c>
      <c r="I30" s="14" t="s">
        <v>474</v>
      </c>
      <c r="J30" s="14" t="s">
        <v>526</v>
      </c>
      <c r="K30" s="17" t="s">
        <v>530</v>
      </c>
      <c r="L30" s="25" t="s">
        <v>536</v>
      </c>
    </row>
    <row r="31" spans="2:12" x14ac:dyDescent="0.2">
      <c r="B31" s="15" t="s">
        <v>469</v>
      </c>
      <c r="C31" s="18" t="s">
        <v>475</v>
      </c>
      <c r="D31" s="18" t="s">
        <v>515</v>
      </c>
      <c r="E31" s="19" t="s">
        <v>519</v>
      </c>
      <c r="F31" s="26" t="s">
        <v>521</v>
      </c>
      <c r="H31" s="15" t="s">
        <v>469</v>
      </c>
      <c r="I31" s="18" t="s">
        <v>475</v>
      </c>
      <c r="J31" s="18" t="s">
        <v>527</v>
      </c>
      <c r="K31" s="19" t="s">
        <v>531</v>
      </c>
      <c r="L31" s="26" t="s">
        <v>537</v>
      </c>
    </row>
    <row r="32" spans="2:12" x14ac:dyDescent="0.2">
      <c r="B32" s="16" t="s">
        <v>470</v>
      </c>
      <c r="C32" s="14" t="s">
        <v>476</v>
      </c>
      <c r="D32" s="14" t="s">
        <v>516</v>
      </c>
      <c r="E32" s="17" t="s">
        <v>520</v>
      </c>
      <c r="F32" s="25" t="s">
        <v>522</v>
      </c>
      <c r="H32" s="16" t="s">
        <v>470</v>
      </c>
      <c r="I32" s="14" t="s">
        <v>476</v>
      </c>
      <c r="J32" s="14" t="s">
        <v>523</v>
      </c>
      <c r="K32" s="17" t="s">
        <v>532</v>
      </c>
      <c r="L32" s="25" t="s">
        <v>538</v>
      </c>
    </row>
    <row r="33" spans="2:12" ht="17.25" thickBot="1" x14ac:dyDescent="0.25">
      <c r="B33" s="604" t="s">
        <v>513</v>
      </c>
      <c r="C33" s="605"/>
      <c r="D33" s="605"/>
      <c r="E33" s="605"/>
      <c r="F33" s="606"/>
      <c r="H33" s="604" t="s">
        <v>513</v>
      </c>
      <c r="I33" s="605"/>
      <c r="J33" s="605"/>
      <c r="K33" s="605"/>
      <c r="L33" s="606"/>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H7" sqref="H7"/>
    </sheetView>
  </sheetViews>
  <sheetFormatPr defaultColWidth="4" defaultRowHeight="17.25" x14ac:dyDescent="0.2"/>
  <cols>
    <col min="1" max="1" width="4" style="9"/>
    <col min="2" max="16384" width="4" style="10"/>
  </cols>
  <sheetData>
    <row r="1" spans="2:22" ht="18" thickBot="1" x14ac:dyDescent="0.25"/>
    <row r="2" spans="2:22" x14ac:dyDescent="0.2">
      <c r="B2" s="619" t="s">
        <v>366</v>
      </c>
      <c r="C2" s="620"/>
      <c r="D2" s="620"/>
      <c r="E2" s="620"/>
      <c r="F2" s="620"/>
      <c r="G2" s="620"/>
      <c r="H2" s="620"/>
      <c r="I2" s="620"/>
      <c r="J2" s="620"/>
      <c r="K2" s="620"/>
      <c r="L2" s="620"/>
      <c r="M2" s="620"/>
      <c r="N2" s="620"/>
      <c r="O2" s="620"/>
      <c r="P2" s="620"/>
      <c r="Q2" s="620"/>
      <c r="R2" s="620"/>
      <c r="S2" s="620"/>
      <c r="T2" s="620"/>
      <c r="U2" s="620"/>
      <c r="V2" s="621"/>
    </row>
    <row r="3" spans="2:22" x14ac:dyDescent="0.2">
      <c r="B3" s="622" t="s">
        <v>367</v>
      </c>
      <c r="C3" s="623"/>
      <c r="D3" s="623"/>
      <c r="E3" s="623" t="s">
        <v>361</v>
      </c>
      <c r="F3" s="623"/>
      <c r="G3" s="623"/>
      <c r="H3" s="623" t="s">
        <v>362</v>
      </c>
      <c r="I3" s="623"/>
      <c r="J3" s="623"/>
      <c r="K3" s="623" t="s">
        <v>368</v>
      </c>
      <c r="L3" s="623"/>
      <c r="M3" s="623"/>
      <c r="N3" s="623" t="s">
        <v>363</v>
      </c>
      <c r="O3" s="623"/>
      <c r="P3" s="623"/>
      <c r="Q3" s="623" t="s">
        <v>365</v>
      </c>
      <c r="R3" s="623"/>
      <c r="S3" s="623"/>
      <c r="T3" s="623" t="s">
        <v>364</v>
      </c>
      <c r="U3" s="623"/>
      <c r="V3" s="624"/>
    </row>
    <row r="4" spans="2:22" x14ac:dyDescent="0.2">
      <c r="B4" s="617">
        <f ca="1">RANDBETWEEN(1,2)</f>
        <v>1</v>
      </c>
      <c r="C4" s="613"/>
      <c r="D4" s="613"/>
      <c r="E4" s="613">
        <f ca="1">RANDBETWEEN(1,4)</f>
        <v>1</v>
      </c>
      <c r="F4" s="613"/>
      <c r="G4" s="613"/>
      <c r="H4" s="613">
        <f ca="1">RANDBETWEEN(1,6)</f>
        <v>1</v>
      </c>
      <c r="I4" s="613"/>
      <c r="J4" s="613"/>
      <c r="K4" s="613">
        <f ca="1">RANDBETWEEN(1,8)</f>
        <v>4</v>
      </c>
      <c r="L4" s="613"/>
      <c r="M4" s="613"/>
      <c r="N4" s="613">
        <f ca="1">RANDBETWEEN(1,10)</f>
        <v>8</v>
      </c>
      <c r="O4" s="613"/>
      <c r="P4" s="613"/>
      <c r="Q4" s="613">
        <f ca="1">RANDBETWEEN(1,20)</f>
        <v>6</v>
      </c>
      <c r="R4" s="613"/>
      <c r="S4" s="613"/>
      <c r="T4" s="613">
        <f ca="1">RANDBETWEEN(0,99)</f>
        <v>33</v>
      </c>
      <c r="U4" s="613"/>
      <c r="V4" s="614"/>
    </row>
    <row r="5" spans="2:22" ht="18" thickBot="1" x14ac:dyDescent="0.25">
      <c r="B5" s="618"/>
      <c r="C5" s="615"/>
      <c r="D5" s="615"/>
      <c r="E5" s="615"/>
      <c r="F5" s="615"/>
      <c r="G5" s="615"/>
      <c r="H5" s="615"/>
      <c r="I5" s="615"/>
      <c r="J5" s="615"/>
      <c r="K5" s="615"/>
      <c r="L5" s="615"/>
      <c r="M5" s="615"/>
      <c r="N5" s="615"/>
      <c r="O5" s="615"/>
      <c r="P5" s="615"/>
      <c r="Q5" s="615"/>
      <c r="R5" s="615"/>
      <c r="S5" s="615"/>
      <c r="T5" s="615"/>
      <c r="U5" s="615"/>
      <c r="V5" s="616"/>
    </row>
  </sheetData>
  <sheetProtection sheet="1" objects="1" scenarios="1"/>
  <mergeCells count="15">
    <mergeCell ref="B2:V2"/>
    <mergeCell ref="B3:D3"/>
    <mergeCell ref="E3:G3"/>
    <mergeCell ref="H3:J3"/>
    <mergeCell ref="K3:M3"/>
    <mergeCell ref="N3:P3"/>
    <mergeCell ref="Q3:S3"/>
    <mergeCell ref="T3:V3"/>
    <mergeCell ref="T4:V5"/>
    <mergeCell ref="B4:D5"/>
    <mergeCell ref="E4:G5"/>
    <mergeCell ref="H4:J5"/>
    <mergeCell ref="K4:M5"/>
    <mergeCell ref="N4:P5"/>
    <mergeCell ref="Q4:S5"/>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1]!F5F5F5">
                <anchor moveWithCells="1" sizeWithCells="1">
                  <from>
                    <xdr:col>9</xdr:col>
                    <xdr:colOff>228600</xdr:colOff>
                    <xdr:row>6</xdr:row>
                    <xdr:rowOff>0</xdr:rowOff>
                  </from>
                  <to>
                    <xdr:col>13</xdr:col>
                    <xdr:colOff>85725</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B11" sqref="B11"/>
    </sheetView>
  </sheetViews>
  <sheetFormatPr defaultColWidth="9" defaultRowHeight="17.25" x14ac:dyDescent="0.2"/>
  <cols>
    <col min="1" max="1" width="9" style="11"/>
    <col min="2" max="2" width="43.75" style="116" customWidth="1"/>
    <col min="3" max="3" width="9" style="11"/>
    <col min="4" max="4" width="16" style="11" customWidth="1"/>
    <col min="5" max="5" width="16.125" style="11" customWidth="1"/>
    <col min="6" max="16384" width="9" style="11"/>
  </cols>
  <sheetData>
    <row r="1" spans="2:5" ht="18" x14ac:dyDescent="0.2">
      <c r="B1" s="113" t="str">
        <f>人物卡!D3&amp;"，"&amp;人物卡!D5&amp;"，"&amp;人物卡!K6&amp;"，"&amp;人物卡!D6&amp;"岁"</f>
        <v xml:space="preserve"> ， ， ， 岁</v>
      </c>
      <c r="C1" s="11" t="s">
        <v>701</v>
      </c>
    </row>
    <row r="2" spans="2:5" x14ac:dyDescent="0.2">
      <c r="B2" s="114" t="str">
        <f>"出身"&amp;人物卡!D8&amp;"，现居"&amp;人物卡!D7</f>
        <v xml:space="preserve">出身 ，现居 </v>
      </c>
      <c r="D2" s="11" t="s">
        <v>702</v>
      </c>
    </row>
    <row r="3" spans="2:5" x14ac:dyDescent="0.2">
      <c r="B3" s="114" t="str">
        <f>"时代: "&amp;建卡!E8&amp;"   玩家: "&amp;人物卡!D4</f>
        <v xml:space="preserve">时代: 1920s   玩家:  </v>
      </c>
    </row>
    <row r="4" spans="2:5" x14ac:dyDescent="0.2">
      <c r="B4" s="114" t="str">
        <f>"STR "&amp;STR&amp;"  CON "&amp;CON&amp;"  SIZ "&amp;SIZ&amp;"  DEX "&amp;DEX</f>
        <v>STR 0  CON 0  SIZ 0  DEX 0</v>
      </c>
      <c r="D4" s="11" t="s">
        <v>417</v>
      </c>
    </row>
    <row r="5" spans="2:5" ht="18" thickBot="1" x14ac:dyDescent="0.25">
      <c r="B5" s="114" t="str">
        <f>"APP "&amp;APP&amp;"  INT "&amp;INT&amp;"  POW "&amp;POW&amp;"  EDU "&amp;EDU</f>
        <v>APP 0  INT 0  POW 0  EDU 0</v>
      </c>
    </row>
    <row r="6" spans="2:5" x14ac:dyDescent="0.2">
      <c r="B6" s="114" t="str">
        <f>"DB:"&amp;DB&amp;"  Build:"&amp;Build&amp;"  MOV:"&amp;MOV&amp;"  Luck:"&amp;Luck</f>
        <v>DB:错误  Build:错误  MOV:错误  Luck:0</v>
      </c>
      <c r="D6" s="625" t="s">
        <v>703</v>
      </c>
      <c r="E6" s="626"/>
    </row>
    <row r="7" spans="2:5" ht="18" thickBot="1" x14ac:dyDescent="0.25">
      <c r="B7" s="114" t="str">
        <f>"HP:"&amp;HP&amp;"/"&amp;HPmax&amp;"   San:"&amp;SAN&amp;"/"&amp;SANmax&amp;"   MP:"&amp;MP&amp;"/"&amp;MPmax</f>
        <v>HP:0/0   San:0/99   MP:0/0</v>
      </c>
      <c r="D7" s="627" t="s">
        <v>704</v>
      </c>
      <c r="E7" s="628"/>
    </row>
    <row r="8" spans="2:5" x14ac:dyDescent="0.2">
      <c r="B8" s="114" t="s">
        <v>428</v>
      </c>
    </row>
    <row r="9" spans="2:5" x14ac:dyDescent="0.2">
      <c r="B9" s="114" t="str">
        <f>"斗殴 "&amp;人物卡!K40&amp;"% ("&amp;人物卡!M40&amp;"/"&amp;人物卡!O40&amp;"), 伤害"&amp;人物卡!R40</f>
        <v>斗殴 25% (12/5), 伤害1D3+DB</v>
      </c>
    </row>
    <row r="10" spans="2:5" x14ac:dyDescent="0.2">
      <c r="B10" s="114" t="str">
        <f>IF(ISBLANK(weapon),"",weapon&amp;" "&amp;人物卡!K41&amp;"% ("&amp;人物卡!M41&amp;"/"&amp;人物卡!O41&amp;"), 伤害"&amp;人物卡!R41)</f>
        <v/>
      </c>
    </row>
    <row r="11" spans="2:5" x14ac:dyDescent="0.2">
      <c r="B11" s="114" t="str">
        <f>IF(ISBLANK(人物卡!B42),"",人物卡!B42&amp;" "&amp;人物卡!K42&amp;"% ("&amp;人物卡!M42&amp;"/"&amp;人物卡!O42&amp;"), 伤害"&amp;人物卡!R42)</f>
        <v/>
      </c>
    </row>
    <row r="12" spans="2:5" x14ac:dyDescent="0.2">
      <c r="B12" s="114" t="str">
        <f>IF(ISBLANK(人物卡!B43),"",人物卡!B43&amp;" "&amp;人物卡!K43&amp;"% ("&amp;人物卡!M43&amp;"/"&amp;人物卡!O43&amp;"), 伤害"&amp;人物卡!R43)</f>
        <v/>
      </c>
    </row>
    <row r="13" spans="2:5" x14ac:dyDescent="0.2">
      <c r="B13" s="114" t="str">
        <f>IF(ISBLANK(人物卡!B44),"",人物卡!B44&amp;" "&amp;人物卡!K44&amp;"% ("&amp;人物卡!M44&amp;"/"&amp;人物卡!O44&amp;"), 伤害"&amp;人物卡!R44)</f>
        <v/>
      </c>
    </row>
    <row r="14" spans="2:5" x14ac:dyDescent="0.2">
      <c r="B14" s="114" t="str">
        <f>IF(D7&lt;&gt;"输出到技能一栏","闪避 "&amp;Dodge&amp;"% ("&amp;人物卡!AP43&amp;"/"&amp;人物卡!AP44&amp;")","")</f>
        <v>闪避 0% (0/0)</v>
      </c>
    </row>
    <row r="15" spans="2:5" x14ac:dyDescent="0.2">
      <c r="B15" s="114" t="s">
        <v>429</v>
      </c>
    </row>
    <row r="16" spans="2:5" x14ac:dyDescent="0.2">
      <c r="B16" s="114" t="str">
        <f>IF(AND(ISBLANK(建卡!I48),ISBLANK(建卡!J48),ISBLANK(人物卡!J16)),"",人物卡!C16&amp;" "&amp;人物卡!L16)</f>
        <v/>
      </c>
    </row>
    <row r="17" spans="2:2" x14ac:dyDescent="0.2">
      <c r="B17" s="114" t="str">
        <f>IF(AND(ISBLANK(建卡!I49),ISBLANK(建卡!J49),ISBLANK(人物卡!J17)),"",人物卡!C17&amp;" "&amp;人物卡!L17)</f>
        <v/>
      </c>
    </row>
    <row r="18" spans="2:2" x14ac:dyDescent="0.2">
      <c r="B18" s="114" t="str">
        <f>IF(AND(ISBLANK(建卡!I50),ISBLANK(建卡!J50),ISBLANK(人物卡!J18)),"",人物卡!C18&amp;" "&amp;人物卡!L18)</f>
        <v/>
      </c>
    </row>
    <row r="19" spans="2:2" x14ac:dyDescent="0.2">
      <c r="B19" s="114" t="str">
        <f>IF(AND(ISBLANK(建卡!I51),ISBLANK(建卡!J51),ISBLANK(人物卡!J19)),"",人物卡!C19&amp;" "&amp;人物卡!L19)</f>
        <v/>
      </c>
    </row>
    <row r="20" spans="2:2" x14ac:dyDescent="0.2">
      <c r="B20" s="114" t="str">
        <f>IF(AND(ISBLANK(建卡!I52),ISBLANK(建卡!J52),ISBLANK(人物卡!J20)),"",人物卡!C20&amp;" "&amp;人物卡!L20)</f>
        <v/>
      </c>
    </row>
    <row r="21" spans="2:2" x14ac:dyDescent="0.2">
      <c r="B21" s="114" t="str">
        <f>IF(AND(ISBLANK(建卡!I53),ISBLANK(建卡!J53),ISBLANK(人物卡!J21)),"",人物卡!C21&amp;" "&amp;人物卡!L21)</f>
        <v/>
      </c>
    </row>
    <row r="22" spans="2:2" x14ac:dyDescent="0.2">
      <c r="B22" s="114" t="str">
        <f>IF(AND(ISBLANK(建卡!I54),ISBLANK(建卡!J54),ISBLANK(人物卡!J22)),"",人物卡!C22&amp;" "&amp;人物卡!L22)</f>
        <v/>
      </c>
    </row>
    <row r="23" spans="2:2" x14ac:dyDescent="0.2">
      <c r="B23" s="114" t="str">
        <f>IF(AND(ISBLANK(建卡!I55),ISBLANK(建卡!J55),ISBLANK(人物卡!J23)),"",人物卡!C23&amp;" "&amp;人物卡!L23)</f>
        <v/>
      </c>
    </row>
    <row r="24" spans="2:2" x14ac:dyDescent="0.2">
      <c r="B24" s="114" t="str">
        <f>IF(AND(ISBLANK(建卡!I56),ISBLANK(建卡!J56),ISBLANK(人物卡!J24)),"",人物卡!C24&amp;" "&amp;人物卡!L24)</f>
        <v/>
      </c>
    </row>
    <row r="25" spans="2:2" x14ac:dyDescent="0.2">
      <c r="B25" s="114" t="str">
        <f>IF(AND(ISBLANK(建卡!I57),ISBLANK(建卡!J57),ISBLANK(人物卡!J25)),"",人物卡!C25&amp;" "&amp;人物卡!L25)</f>
        <v/>
      </c>
    </row>
    <row r="26" spans="2:2" x14ac:dyDescent="0.2">
      <c r="B26" s="114" t="str">
        <f>IF(AND(ISBLANK(建卡!I58),ISBLANK(建卡!J58),ISBLANK(人物卡!J26)),"",人物卡!C26&amp;" "&amp;人物卡!L26)</f>
        <v/>
      </c>
    </row>
    <row r="27" spans="2:2" x14ac:dyDescent="0.2">
      <c r="B27" s="114" t="str">
        <f>IF(AND(ISBLANK(建卡!I59),ISBLANK(建卡!J59),ISBLANK(人物卡!J27)),"",人物卡!C27&amp;" "&amp;人物卡!L27)</f>
        <v>克苏鲁神话 0% (0/0)</v>
      </c>
    </row>
    <row r="28" spans="2:2" x14ac:dyDescent="0.2">
      <c r="B28" s="114" t="str">
        <f>IF(AND(ISBLANK(建卡!I60),ISBLANK(建卡!J60),ISBLANK(人物卡!J28)),"",人物卡!C28&amp;" "&amp;人物卡!L28)</f>
        <v/>
      </c>
    </row>
    <row r="29" spans="2:2" x14ac:dyDescent="0.2">
      <c r="B29" s="114" t="str">
        <f>IF(D7&lt;&gt;"输出到战斗一栏","闪避 "&amp;Dodge&amp;"% ("&amp;人物卡!AP43&amp;"/"&amp;人物卡!AP44&amp;")","")</f>
        <v/>
      </c>
    </row>
    <row r="30" spans="2:2" x14ac:dyDescent="0.2">
      <c r="B30" s="114" t="str">
        <f>IF(AND(ISBLANK(建卡!I62),ISBLANK(建卡!J62),ISBLANK(人物卡!J30)),"",人物卡!C30&amp;" "&amp;人物卡!L30)</f>
        <v/>
      </c>
    </row>
    <row r="31" spans="2:2" x14ac:dyDescent="0.2">
      <c r="B31" s="114" t="str">
        <f>IF(AND(ISBLANK(建卡!I63),ISBLANK(建卡!J63),ISBLANK(人物卡!J31)),"",人物卡!C31&amp;" "&amp;人物卡!L31)</f>
        <v/>
      </c>
    </row>
    <row r="32" spans="2:2" x14ac:dyDescent="0.2">
      <c r="B32" s="114" t="str">
        <f>IF(AND(ISBLANK(建卡!I64),ISBLANK(建卡!J64),ISBLANK(人物卡!J32)),"",人物卡!C32&amp;" "&amp;人物卡!L32)</f>
        <v/>
      </c>
    </row>
    <row r="33" spans="2:2" x14ac:dyDescent="0.2">
      <c r="B33" s="114" t="str">
        <f>IF(AND(ISBLANK(建卡!I65),ISBLANK(建卡!J65),ISBLANK(人物卡!J33)),"",人物卡!C33&amp;" "&amp;人物卡!L33)</f>
        <v/>
      </c>
    </row>
    <row r="34" spans="2:2" x14ac:dyDescent="0.2">
      <c r="B34" s="114" t="str">
        <f>IF(AND(ISBLANK(建卡!I66),ISBLANK(建卡!J66),ISBLANK(人物卡!J34)),"",人物卡!C34&amp;" "&amp;人物卡!L34)</f>
        <v/>
      </c>
    </row>
    <row r="35" spans="2:2" x14ac:dyDescent="0.2">
      <c r="B35" s="114" t="str">
        <f>IF(AND(ISBLANK(建卡!I67),ISBLANK(建卡!J67),ISBLANK(人物卡!J35)),"",人物卡!C35&amp;" "&amp;人物卡!L35)</f>
        <v/>
      </c>
    </row>
    <row r="36" spans="2:2" x14ac:dyDescent="0.2">
      <c r="B36" s="114" t="str">
        <f>IF(AND(ISBLANK(建卡!I68),ISBLANK(建卡!J68),ISBLANK(人物卡!J36)),"",人物卡!C36&amp;" "&amp;人物卡!L36)</f>
        <v/>
      </c>
    </row>
    <row r="37" spans="2:2" x14ac:dyDescent="0.2">
      <c r="B37" s="114" t="str">
        <f>IF(AND(ISBLANK(建卡!I69),ISBLANK(建卡!J69),ISBLANK(人物卡!X16)),"",人物卡!Q16&amp;" "&amp;人物卡!Z16)</f>
        <v/>
      </c>
    </row>
    <row r="38" spans="2:2" x14ac:dyDescent="0.2">
      <c r="B38" s="114" t="str">
        <f>IF(AND(ISBLANK(建卡!I70),ISBLANK(建卡!J70),ISBLANK(人物卡!X17)),"",人物卡!Q17&amp;" "&amp;人物卡!Z17)</f>
        <v/>
      </c>
    </row>
    <row r="39" spans="2:2" x14ac:dyDescent="0.2">
      <c r="B39" s="114" t="str">
        <f>IF(AND(ISBLANK(建卡!I71),ISBLANK(建卡!J71),ISBLANK(人物卡!X18)),"",人物卡!Q18&amp;" "&amp;人物卡!Z18)</f>
        <v/>
      </c>
    </row>
    <row r="40" spans="2:2" x14ac:dyDescent="0.2">
      <c r="B40" s="114" t="str">
        <f>IF(AND(ISBLANK(建卡!I72),ISBLANK(建卡!J72),ISBLANK(人物卡!X19)),"",人物卡!Q19&amp;" "&amp;人物卡!Z19)</f>
        <v/>
      </c>
    </row>
    <row r="41" spans="2:2" x14ac:dyDescent="0.2">
      <c r="B41" s="114" t="str">
        <f>IF(AND(ISBLANK(建卡!I73),ISBLANK(建卡!J73),ISBLANK(人物卡!X20)),"",人物卡!Q20&amp;" "&amp;人物卡!Z20)</f>
        <v/>
      </c>
    </row>
    <row r="42" spans="2:2" x14ac:dyDescent="0.2">
      <c r="B42" s="114" t="str">
        <f>IF(AND(ISBLANK(建卡!I74),ISBLANK(建卡!J74),ISBLANK(人物卡!X21)),"",人物卡!Q21&amp;" "&amp;人物卡!Z21)</f>
        <v/>
      </c>
    </row>
    <row r="43" spans="2:2" x14ac:dyDescent="0.2">
      <c r="B43" s="114" t="str">
        <f>IF(AND(ISBLANK(建卡!I75),ISBLANK(建卡!J75),ISBLANK(人物卡!X22)),"",人物卡!Q22&amp;" "&amp;人物卡!Z22)</f>
        <v/>
      </c>
    </row>
    <row r="44" spans="2:2" x14ac:dyDescent="0.2">
      <c r="B44" s="114" t="str">
        <f>IF(AND(ISBLANK(建卡!I76),ISBLANK(建卡!J76),ISBLANK(人物卡!X23)),"",人物卡!Q23&amp;" "&amp;人物卡!Z23)</f>
        <v/>
      </c>
    </row>
    <row r="45" spans="2:2" x14ac:dyDescent="0.2">
      <c r="B45" s="114" t="str">
        <f>IF(AND(ISBLANK(建卡!I77),ISBLANK(建卡!J77),ISBLANK(人物卡!X24)),"",人物卡!Q24&amp;" "&amp;人物卡!Z24)</f>
        <v/>
      </c>
    </row>
    <row r="46" spans="2:2" x14ac:dyDescent="0.2">
      <c r="B46" s="114" t="str">
        <f>IF(AND(ISBLANK(建卡!I78),ISBLANK(建卡!J78),ISBLANK(人物卡!X25)),"",人物卡!Q25&amp;" "&amp;人物卡!Z25)</f>
        <v/>
      </c>
    </row>
    <row r="47" spans="2:2" x14ac:dyDescent="0.2">
      <c r="B47" s="114" t="str">
        <f>IF(AND(ISBLANK(建卡!I79),ISBLANK(建卡!J79),ISBLANK(人物卡!X26)),"",人物卡!Q26&amp;" "&amp;人物卡!Z26)</f>
        <v/>
      </c>
    </row>
    <row r="48" spans="2:2" x14ac:dyDescent="0.2">
      <c r="B48" s="114" t="str">
        <f>IF(AND(ISBLANK(建卡!Z48),ISBLANK(建卡!AB48),ISBLANK(人物卡!X27)),"",人物卡!Q27&amp;" "&amp;人物卡!Z27)</f>
        <v/>
      </c>
    </row>
    <row r="49" spans="2:2" x14ac:dyDescent="0.2">
      <c r="B49" s="114" t="str">
        <f>IF(AND(ISBLANK(建卡!Z49),ISBLANK(建卡!AB49),ISBLANK(人物卡!X28)),"",人物卡!Q28&amp;" "&amp;人物卡!Z28)</f>
        <v/>
      </c>
    </row>
    <row r="50" spans="2:2" x14ac:dyDescent="0.2">
      <c r="B50" s="114" t="str">
        <f>IF(AND(ISBLANK(建卡!Z50),ISBLANK(建卡!AB50),ISBLANK(人物卡!X29)),"",人物卡!Q29&amp;" "&amp;人物卡!Z29)</f>
        <v/>
      </c>
    </row>
    <row r="51" spans="2:2" x14ac:dyDescent="0.2">
      <c r="B51" s="114" t="str">
        <f>IF(AND(ISBLANK(建卡!Z51),ISBLANK(建卡!AB51),ISBLANK(人物卡!X30)),"",人物卡!Q30&amp;" "&amp;人物卡!Z30)</f>
        <v/>
      </c>
    </row>
    <row r="52" spans="2:2" x14ac:dyDescent="0.2">
      <c r="B52" s="114" t="str">
        <f>IF(AND(ISBLANK(建卡!Z52),ISBLANK(建卡!AB52),ISBLANK(人物卡!X31)),"",人物卡!Q31&amp;" "&amp;人物卡!Z31)</f>
        <v/>
      </c>
    </row>
    <row r="53" spans="2:2" x14ac:dyDescent="0.2">
      <c r="B53" s="114" t="str">
        <f>IF(AND(ISBLANK(建卡!Z53),ISBLANK(建卡!AB53),ISBLANK(人物卡!X32)),"",人物卡!Q32&amp;" "&amp;人物卡!Z32)</f>
        <v/>
      </c>
    </row>
    <row r="54" spans="2:2" x14ac:dyDescent="0.2">
      <c r="B54" s="114" t="str">
        <f>IF(AND(ISBLANK(建卡!Z54),ISBLANK(建卡!AB54),ISBLANK(人物卡!X33)),"",人物卡!Q33&amp;" "&amp;人物卡!Z33)</f>
        <v/>
      </c>
    </row>
    <row r="55" spans="2:2" x14ac:dyDescent="0.2">
      <c r="B55" s="114" t="str">
        <f>IF(AND(ISBLANK(建卡!Z55),ISBLANK(建卡!AB55),ISBLANK(人物卡!X34)),"",人物卡!Q34&amp;" "&amp;人物卡!Z34)</f>
        <v/>
      </c>
    </row>
    <row r="56" spans="2:2" x14ac:dyDescent="0.2">
      <c r="B56" s="114" t="str">
        <f>IF(AND(ISBLANK(建卡!Z56),ISBLANK(建卡!AB56),ISBLANK(人物卡!X35)),"",人物卡!Q35&amp;" "&amp;人物卡!Z35)</f>
        <v/>
      </c>
    </row>
    <row r="57" spans="2:2" x14ac:dyDescent="0.2">
      <c r="B57" s="114" t="str">
        <f>IF(AND(ISBLANK(建卡!Z57),ISBLANK(建卡!AB57),ISBLANK(人物卡!X36)),"",人物卡!Q36&amp;" "&amp;人物卡!Z36)</f>
        <v/>
      </c>
    </row>
    <row r="58" spans="2:2" x14ac:dyDescent="0.2">
      <c r="B58" s="114" t="str">
        <f>IF(AND(ISBLANK(建卡!Z58),ISBLANK(建卡!AB58),ISBLANK(人物卡!AL16)),"",人物卡!AE16&amp;" "&amp;人物卡!AN16)</f>
        <v/>
      </c>
    </row>
    <row r="59" spans="2:2" x14ac:dyDescent="0.2">
      <c r="B59" s="114" t="str">
        <f>IF(AND(ISBLANK(建卡!Z59),ISBLANK(建卡!AB59),ISBLANK(人物卡!AL17)),"",人物卡!AE17&amp;" "&amp;人物卡!AN17)</f>
        <v/>
      </c>
    </row>
    <row r="60" spans="2:2" x14ac:dyDescent="0.2">
      <c r="B60" s="114" t="str">
        <f>IF(AND(ISBLANK(建卡!Z60),ISBLANK(建卡!AB60),ISBLANK(人物卡!AL18)),"",人物卡!AE18&amp;" "&amp;人物卡!AN18)</f>
        <v/>
      </c>
    </row>
    <row r="61" spans="2:2" x14ac:dyDescent="0.2">
      <c r="B61" s="114" t="str">
        <f>IF(AND(ISBLANK(建卡!Z61),ISBLANK(建卡!AB61),ISBLANK(人物卡!AL19)),"",人物卡!AE19&amp;" "&amp;人物卡!AN19)</f>
        <v/>
      </c>
    </row>
    <row r="62" spans="2:2" x14ac:dyDescent="0.2">
      <c r="B62" s="114" t="str">
        <f>IF(AND(ISBLANK(建卡!Z62),ISBLANK(建卡!AB62),ISBLANK(人物卡!AL20)),"",人物卡!AE20&amp;" "&amp;人物卡!AN20)</f>
        <v/>
      </c>
    </row>
    <row r="63" spans="2:2" x14ac:dyDescent="0.2">
      <c r="B63" s="114" t="str">
        <f>IF(AND(ISBLANK(建卡!Z63),ISBLANK(建卡!AB63),ISBLANK(人物卡!AL21)),"",人物卡!AE21&amp;" "&amp;人物卡!AN21)</f>
        <v/>
      </c>
    </row>
    <row r="64" spans="2:2" x14ac:dyDescent="0.2">
      <c r="B64" s="114" t="str">
        <f>IF(AND(ISBLANK(建卡!Z64),ISBLANK(建卡!AB64),ISBLANK(人物卡!AL22)),"",人物卡!AE22&amp;" "&amp;人物卡!AN22)</f>
        <v/>
      </c>
    </row>
    <row r="65" spans="2:2" x14ac:dyDescent="0.2">
      <c r="B65" s="114" t="str">
        <f>IF(AND(ISBLANK(建卡!Z65),ISBLANK(建卡!AB65),ISBLANK(人物卡!AL23)),"",人物卡!AE23&amp;" "&amp;人物卡!AN23)</f>
        <v/>
      </c>
    </row>
    <row r="66" spans="2:2" x14ac:dyDescent="0.2">
      <c r="B66" s="114" t="str">
        <f>IF(AND(ISBLANK(建卡!Z66),ISBLANK(建卡!AB66),ISBLANK(人物卡!AL24)),"",人物卡!AE24&amp;" "&amp;人物卡!AN24)</f>
        <v/>
      </c>
    </row>
    <row r="67" spans="2:2" x14ac:dyDescent="0.2">
      <c r="B67" s="114" t="str">
        <f>IF(AND(ISBLANK(建卡!Z67),ISBLANK(建卡!AB67),ISBLANK(人物卡!AL25)),"",人物卡!AE25&amp;" "&amp;人物卡!AN25)</f>
        <v/>
      </c>
    </row>
    <row r="68" spans="2:2" x14ac:dyDescent="0.2">
      <c r="B68" s="114" t="str">
        <f>IF(AND(ISBLANK(建卡!Z68),ISBLANK(建卡!AB68),ISBLANK(人物卡!AL26)),"",人物卡!AE26&amp;" "&amp;人物卡!AN26)</f>
        <v/>
      </c>
    </row>
    <row r="69" spans="2:2" x14ac:dyDescent="0.2">
      <c r="B69" s="114" t="str">
        <f>IF(AND(ISBLANK(建卡!Z69),ISBLANK(建卡!AB69),ISBLANK(人物卡!AL27)),"",人物卡!AE27&amp;" "&amp;人物卡!AN27)</f>
        <v/>
      </c>
    </row>
    <row r="70" spans="2:2" x14ac:dyDescent="0.2">
      <c r="B70" s="114" t="str">
        <f>IF(AND(ISBLANK(建卡!Z70),ISBLANK(建卡!AB70),ISBLANK(人物卡!AL28)),"",人物卡!AE28&amp;" "&amp;人物卡!AN28)</f>
        <v/>
      </c>
    </row>
    <row r="71" spans="2:2" x14ac:dyDescent="0.2">
      <c r="B71" s="114" t="str">
        <f>IF(AND(ISBLANK(建卡!Z71),ISBLANK(建卡!AB71),ISBLANK(人物卡!AL29)),"",人物卡!AE29&amp;" "&amp;人物卡!AN29)</f>
        <v/>
      </c>
    </row>
    <row r="72" spans="2:2" x14ac:dyDescent="0.2">
      <c r="B72" s="114" t="str">
        <f>IF(AND(ISBLANK(建卡!Z72),ISBLANK(建卡!AB72),ISBLANK(人物卡!AL30)),"",人物卡!AE30&amp;" "&amp;人物卡!AN30)</f>
        <v/>
      </c>
    </row>
    <row r="73" spans="2:2" x14ac:dyDescent="0.2">
      <c r="B73" s="114" t="str">
        <f>IF(AND(ISBLANK(建卡!Z73),ISBLANK(建卡!AB73),ISBLANK(人物卡!AL31)),"",人物卡!AE31&amp;" "&amp;人物卡!AN31)</f>
        <v/>
      </c>
    </row>
    <row r="74" spans="2:2" x14ac:dyDescent="0.2">
      <c r="B74" s="114" t="str">
        <f>IF(AND(ISBLANK(建卡!Z74),ISBLANK(建卡!AB74),ISBLANK(人物卡!AL32)),"",人物卡!AE32&amp;" "&amp;人物卡!AN32)</f>
        <v/>
      </c>
    </row>
    <row r="75" spans="2:2" x14ac:dyDescent="0.2">
      <c r="B75" s="114" t="str">
        <f>IF(AND(ISBLANK(建卡!Z75),ISBLANK(建卡!AB75),ISBLANK(人物卡!AL33)),"",人物卡!AE33&amp;" "&amp;人物卡!AN33)</f>
        <v/>
      </c>
    </row>
    <row r="76" spans="2:2" x14ac:dyDescent="0.2">
      <c r="B76" s="114" t="str">
        <f>IF(AND(ISBLANK(建卡!Z76),ISBLANK(建卡!AB76),ISBLANK(人物卡!AL34)),"",人物卡!AE34&amp;" "&amp;人物卡!AN34)</f>
        <v/>
      </c>
    </row>
    <row r="77" spans="2:2" x14ac:dyDescent="0.2">
      <c r="B77" s="114" t="str">
        <f>IF(AND(ISBLANK(建卡!Z77),ISBLANK(建卡!AB77),ISBLANK(人物卡!AL35)),"",人物卡!AE35&amp;" "&amp;人物卡!AN35)</f>
        <v/>
      </c>
    </row>
    <row r="78" spans="2:2" x14ac:dyDescent="0.2">
      <c r="B78" s="114" t="str">
        <f>IF(AND(ISBLANK(建卡!Z78),ISBLANK(建卡!AB78),ISBLANK(人物卡!AL36)),"",人物卡!AE36&amp;" "&amp;人物卡!AN36)</f>
        <v/>
      </c>
    </row>
    <row r="79" spans="2:2" x14ac:dyDescent="0.2">
      <c r="B79" s="114" t="s">
        <v>430</v>
      </c>
    </row>
    <row r="80" spans="2:2" x14ac:dyDescent="0.2">
      <c r="B80" s="114" t="str">
        <f>人物卡!S48&amp;"："&amp;IF(ISBLANK(人物卡!W48),"（空）",人物卡!W48)</f>
        <v>形象描述：（空）</v>
      </c>
    </row>
    <row r="81" spans="2:2" x14ac:dyDescent="0.2">
      <c r="B81" s="114" t="str">
        <f>人物卡!S50&amp;"："&amp;IF(ISBLANK(人物卡!W50),"（空）",人物卡!W50)</f>
        <v>思想与信念：（空）</v>
      </c>
    </row>
    <row r="82" spans="2:2" x14ac:dyDescent="0.2">
      <c r="B82" s="114" t="str">
        <f>人物卡!S52&amp;"："&amp;IF(ISBLANK(人物卡!W52),"（空）",人物卡!W52)</f>
        <v>重要之人：（空）</v>
      </c>
    </row>
    <row r="83" spans="2:2" x14ac:dyDescent="0.2">
      <c r="B83" s="114" t="str">
        <f>人物卡!S54&amp;"："&amp;IF(ISBLANK(人物卡!W54),"（空）",人物卡!W54)</f>
        <v>意义非凡之地：（空）</v>
      </c>
    </row>
    <row r="84" spans="2:2" x14ac:dyDescent="0.2">
      <c r="B84" s="114" t="str">
        <f>人物卡!S56&amp;"："&amp;IF(ISBLANK(人物卡!W56),"（空）",人物卡!W56)</f>
        <v>宝贵之物：（空）</v>
      </c>
    </row>
    <row r="85" spans="2:2" x14ac:dyDescent="0.2">
      <c r="B85" s="114" t="str">
        <f>人物卡!S58&amp;"："&amp;IF(ISBLANK(人物卡!W58),"（空）",人物卡!W58)</f>
        <v>特质：（空）</v>
      </c>
    </row>
    <row r="86" spans="2:2" x14ac:dyDescent="0.2">
      <c r="B86" s="114" t="str">
        <f>人物卡!S60&amp;"："&amp;IF(ISBLANK(人物卡!W60),"（空）",人物卡!W60)</f>
        <v>伤口和疤痕：（空）</v>
      </c>
    </row>
    <row r="87" spans="2:2" x14ac:dyDescent="0.2">
      <c r="B87" s="114" t="str">
        <f>人物卡!S62&amp;"："&amp;IF(ISBLANK(人物卡!W62),"（空）",人物卡!W62)</f>
        <v>恐惧症和狂躁症：（空）</v>
      </c>
    </row>
    <row r="88" spans="2:2" x14ac:dyDescent="0.2">
      <c r="B88" s="114" t="str">
        <f>IF(ISBLANK(人物卡!S64),"（没有填写更多背景）",人物卡!S64)</f>
        <v>（没有填写更多背景）</v>
      </c>
    </row>
    <row r="89" spans="2:2" x14ac:dyDescent="0.2">
      <c r="B89" s="114" t="s">
        <v>705</v>
      </c>
    </row>
    <row r="90" spans="2:2" x14ac:dyDescent="0.2">
      <c r="B90" s="114" t="str">
        <f>IF(ISBLANK(人物卡!B56),"（没有携带任何物品）",人物卡!B56)</f>
        <v>（没有携带任何物品）</v>
      </c>
    </row>
    <row r="91" spans="2:2" x14ac:dyDescent="0.2">
      <c r="B91" s="114" t="str">
        <f>IF(ISBLANK(人物卡!B57),"",人物卡!B57)</f>
        <v/>
      </c>
    </row>
    <row r="92" spans="2:2" x14ac:dyDescent="0.2">
      <c r="B92" s="114" t="str">
        <f>IF(ISBLANK(人物卡!B58),"",人物卡!B58)</f>
        <v/>
      </c>
    </row>
    <row r="93" spans="2:2" x14ac:dyDescent="0.2">
      <c r="B93" s="114" t="str">
        <f>IF(ISBLANK(人物卡!B59),"",人物卡!B59)</f>
        <v/>
      </c>
    </row>
    <row r="94" spans="2:2" x14ac:dyDescent="0.2">
      <c r="B94" s="114" t="str">
        <f>IF(ISBLANK(人物卡!B60),"",人物卡!B60)</f>
        <v/>
      </c>
    </row>
    <row r="95" spans="2:2" x14ac:dyDescent="0.2">
      <c r="B95" s="114" t="str">
        <f>IF(ISBLANK(人物卡!B61),"",人物卡!B61)</f>
        <v/>
      </c>
    </row>
    <row r="96" spans="2:2" x14ac:dyDescent="0.2">
      <c r="B96" s="114" t="str">
        <f>IF(ISBLANK(人物卡!B62),"",人物卡!B62)</f>
        <v/>
      </c>
    </row>
    <row r="97" spans="2:2" x14ac:dyDescent="0.2">
      <c r="B97" s="114" t="str">
        <f>IF(ISBLANK(人物卡!B63),"",人物卡!B63)</f>
        <v/>
      </c>
    </row>
    <row r="98" spans="2:2" x14ac:dyDescent="0.2">
      <c r="B98" s="114" t="str">
        <f>IF(ISBLANK(人物卡!B64),"",人物卡!B64)</f>
        <v/>
      </c>
    </row>
    <row r="99" spans="2:2" x14ac:dyDescent="0.2">
      <c r="B99" s="114" t="s">
        <v>427</v>
      </c>
    </row>
    <row r="100" spans="2:2" x14ac:dyDescent="0.2">
      <c r="B100" s="114" t="str">
        <f>"消费水平："&amp;IF(ISBLANK(人物卡!N49),"(未填写)",人物卡!N49)</f>
        <v>消费水平：(未填写)</v>
      </c>
    </row>
    <row r="101" spans="2:2" x14ac:dyDescent="0.2">
      <c r="B101" s="114" t="str">
        <f>"现金："&amp;IF(ISBLANK(人物卡!D49),"(未填写)",人物卡!D49)</f>
        <v>现金：(未填写)</v>
      </c>
    </row>
    <row r="102" spans="2:2" x14ac:dyDescent="0.2">
      <c r="B102" s="114" t="str">
        <f>IF(ISBLANK(人物卡!B50),"（未设定其他资产）",人物卡!B50)</f>
        <v>（未设定其他资产）</v>
      </c>
    </row>
    <row r="103" spans="2:2" ht="18" thickBot="1" x14ac:dyDescent="0.25">
      <c r="B103" s="115" t="s">
        <v>431</v>
      </c>
    </row>
  </sheetData>
  <sheetProtection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E28" sqref="E28:F31"/>
    </sheetView>
  </sheetViews>
  <sheetFormatPr defaultColWidth="9.875" defaultRowHeight="17.25" x14ac:dyDescent="0.2"/>
  <cols>
    <col min="1" max="1" width="9.5" style="83" bestFit="1" customWidth="1"/>
    <col min="2" max="2" width="8" style="90" bestFit="1" customWidth="1"/>
    <col min="3" max="3" width="6.25" style="90" bestFit="1" customWidth="1"/>
    <col min="4" max="4" width="9.875" style="83"/>
    <col min="5" max="5" width="11.25" style="83" bestFit="1" customWidth="1"/>
    <col min="6" max="6" width="10.375" style="83" bestFit="1" customWidth="1"/>
    <col min="7" max="16384" width="9.875" style="83"/>
  </cols>
  <sheetData>
    <row r="1" spans="1:10" x14ac:dyDescent="0.2">
      <c r="A1" s="82" t="s">
        <v>356</v>
      </c>
      <c r="B1" s="82" t="s">
        <v>357</v>
      </c>
      <c r="C1" s="82" t="s">
        <v>396</v>
      </c>
      <c r="E1" s="82" t="s">
        <v>3</v>
      </c>
      <c r="F1" s="82" t="s">
        <v>397</v>
      </c>
      <c r="J1" s="84"/>
    </row>
    <row r="2" spans="1:10" x14ac:dyDescent="0.2">
      <c r="A2" s="85">
        <v>0</v>
      </c>
      <c r="B2" s="86" t="s">
        <v>358</v>
      </c>
      <c r="C2" s="85" t="s">
        <v>358</v>
      </c>
      <c r="E2" s="86">
        <v>0</v>
      </c>
      <c r="F2" s="85">
        <v>0</v>
      </c>
    </row>
    <row r="3" spans="1:10" x14ac:dyDescent="0.2">
      <c r="A3" s="87">
        <v>2</v>
      </c>
      <c r="B3" s="87">
        <v>-2</v>
      </c>
      <c r="C3" s="87">
        <v>-2</v>
      </c>
      <c r="E3" s="87">
        <v>40</v>
      </c>
      <c r="F3" s="87">
        <v>1</v>
      </c>
    </row>
    <row r="4" spans="1:10" x14ac:dyDescent="0.2">
      <c r="A4" s="85">
        <v>65</v>
      </c>
      <c r="B4" s="86">
        <v>-1</v>
      </c>
      <c r="C4" s="85">
        <v>-1</v>
      </c>
      <c r="E4" s="86">
        <v>50</v>
      </c>
      <c r="F4" s="85">
        <v>2</v>
      </c>
    </row>
    <row r="5" spans="1:10" x14ac:dyDescent="0.2">
      <c r="A5" s="87">
        <v>85</v>
      </c>
      <c r="B5" s="87">
        <v>0</v>
      </c>
      <c r="C5" s="87">
        <v>0</v>
      </c>
      <c r="E5" s="87">
        <v>60</v>
      </c>
      <c r="F5" s="87">
        <v>3</v>
      </c>
    </row>
    <row r="6" spans="1:10" x14ac:dyDescent="0.2">
      <c r="A6" s="85">
        <v>125</v>
      </c>
      <c r="B6" s="86" t="s">
        <v>369</v>
      </c>
      <c r="C6" s="85">
        <v>1</v>
      </c>
      <c r="E6" s="86">
        <v>70</v>
      </c>
      <c r="F6" s="85">
        <v>4</v>
      </c>
    </row>
    <row r="7" spans="1:10" x14ac:dyDescent="0.2">
      <c r="A7" s="87">
        <v>165</v>
      </c>
      <c r="B7" s="87" t="s">
        <v>370</v>
      </c>
      <c r="C7" s="87">
        <v>2</v>
      </c>
      <c r="E7" s="87">
        <v>80</v>
      </c>
      <c r="F7" s="87">
        <v>5</v>
      </c>
    </row>
    <row r="8" spans="1:10" x14ac:dyDescent="0.2">
      <c r="A8" s="85">
        <v>205</v>
      </c>
      <c r="B8" s="86" t="s">
        <v>371</v>
      </c>
      <c r="C8" s="85">
        <v>3</v>
      </c>
    </row>
    <row r="9" spans="1:10" x14ac:dyDescent="0.2">
      <c r="A9" s="87">
        <v>285</v>
      </c>
      <c r="B9" s="87" t="s">
        <v>372</v>
      </c>
      <c r="C9" s="87">
        <v>4</v>
      </c>
      <c r="E9" s="629" t="s">
        <v>400</v>
      </c>
      <c r="F9" s="630"/>
    </row>
    <row r="10" spans="1:10" x14ac:dyDescent="0.2">
      <c r="A10" s="85">
        <v>365</v>
      </c>
      <c r="B10" s="86" t="s">
        <v>373</v>
      </c>
      <c r="C10" s="85">
        <v>5</v>
      </c>
      <c r="E10" s="86" t="s">
        <v>398</v>
      </c>
      <c r="F10" s="85">
        <f>STR</f>
        <v>0</v>
      </c>
    </row>
    <row r="11" spans="1:10" x14ac:dyDescent="0.2">
      <c r="A11" s="87">
        <v>445</v>
      </c>
      <c r="B11" s="87" t="s">
        <v>374</v>
      </c>
      <c r="C11" s="87">
        <v>6</v>
      </c>
      <c r="E11" s="87" t="s">
        <v>399</v>
      </c>
      <c r="F11" s="87">
        <f>DEX</f>
        <v>0</v>
      </c>
    </row>
    <row r="12" spans="1:10" x14ac:dyDescent="0.2">
      <c r="A12" s="85">
        <v>525</v>
      </c>
      <c r="B12" s="86" t="s">
        <v>375</v>
      </c>
      <c r="C12" s="85">
        <v>7</v>
      </c>
      <c r="E12" s="86" t="s">
        <v>405</v>
      </c>
      <c r="F12" s="85">
        <f>SIZ</f>
        <v>0</v>
      </c>
    </row>
    <row r="13" spans="1:10" x14ac:dyDescent="0.2">
      <c r="A13" s="87">
        <v>605</v>
      </c>
      <c r="B13" s="87" t="s">
        <v>376</v>
      </c>
      <c r="C13" s="87">
        <v>8</v>
      </c>
      <c r="E13" s="87" t="s">
        <v>406</v>
      </c>
      <c r="F13" s="87" t="b">
        <f>IF(STR&gt;SIZ,TRUE())</f>
        <v>0</v>
      </c>
    </row>
    <row r="14" spans="1:10" x14ac:dyDescent="0.2">
      <c r="A14" s="85">
        <v>685</v>
      </c>
      <c r="B14" s="86" t="s">
        <v>377</v>
      </c>
      <c r="C14" s="85">
        <v>9</v>
      </c>
      <c r="E14" s="86" t="s">
        <v>407</v>
      </c>
      <c r="F14" s="85" t="b">
        <f>IF(DEX&gt;SIZ,TRUE())</f>
        <v>0</v>
      </c>
    </row>
    <row r="15" spans="1:10" x14ac:dyDescent="0.2">
      <c r="A15" s="87">
        <v>765</v>
      </c>
      <c r="B15" s="87" t="s">
        <v>378</v>
      </c>
      <c r="C15" s="87">
        <v>10</v>
      </c>
      <c r="E15" s="87" t="s">
        <v>408</v>
      </c>
      <c r="F15" s="87" t="b">
        <f>IF(STR&lt;SIZ,TRUE())</f>
        <v>0</v>
      </c>
    </row>
    <row r="16" spans="1:10" x14ac:dyDescent="0.2">
      <c r="A16" s="85">
        <v>845</v>
      </c>
      <c r="B16" s="86" t="s">
        <v>379</v>
      </c>
      <c r="C16" s="85">
        <v>11</v>
      </c>
      <c r="E16" s="86" t="s">
        <v>409</v>
      </c>
      <c r="F16" s="85" t="b">
        <f>IF(DEX&lt;SIZ,TRUE())</f>
        <v>0</v>
      </c>
    </row>
    <row r="17" spans="1:6" x14ac:dyDescent="0.2">
      <c r="A17" s="87">
        <v>925</v>
      </c>
      <c r="B17" s="87" t="s">
        <v>380</v>
      </c>
      <c r="C17" s="87">
        <v>12</v>
      </c>
      <c r="E17" s="87" t="s">
        <v>451</v>
      </c>
      <c r="F17" s="87" t="b">
        <f>AND(F13:F14)</f>
        <v>0</v>
      </c>
    </row>
    <row r="18" spans="1:6" x14ac:dyDescent="0.2">
      <c r="A18" s="85">
        <v>1005</v>
      </c>
      <c r="B18" s="86" t="s">
        <v>381</v>
      </c>
      <c r="C18" s="85">
        <v>13</v>
      </c>
      <c r="E18" s="86" t="s">
        <v>452</v>
      </c>
      <c r="F18" s="85" t="b">
        <f>AND(F15:F16)</f>
        <v>0</v>
      </c>
    </row>
    <row r="19" spans="1:6" x14ac:dyDescent="0.2">
      <c r="A19" s="87">
        <v>1085</v>
      </c>
      <c r="B19" s="87" t="s">
        <v>382</v>
      </c>
      <c r="C19" s="87">
        <v>14</v>
      </c>
      <c r="E19" s="87" t="s">
        <v>453</v>
      </c>
      <c r="F19" s="87" t="b">
        <f>AND(NOT(F17),NOT(F18))</f>
        <v>1</v>
      </c>
    </row>
    <row r="20" spans="1:6" x14ac:dyDescent="0.2">
      <c r="A20" s="85">
        <v>1165</v>
      </c>
      <c r="B20" s="86" t="s">
        <v>383</v>
      </c>
      <c r="C20" s="85">
        <v>15</v>
      </c>
      <c r="E20" s="86" t="s">
        <v>454</v>
      </c>
      <c r="F20" s="85">
        <f>IF(F17,9,0)</f>
        <v>0</v>
      </c>
    </row>
    <row r="21" spans="1:6" x14ac:dyDescent="0.2">
      <c r="A21" s="87">
        <v>1245</v>
      </c>
      <c r="B21" s="87" t="s">
        <v>384</v>
      </c>
      <c r="C21" s="87">
        <v>16</v>
      </c>
      <c r="E21" s="87" t="s">
        <v>455</v>
      </c>
      <c r="F21" s="87">
        <f>IF(F18,7,0)</f>
        <v>0</v>
      </c>
    </row>
    <row r="22" spans="1:6" x14ac:dyDescent="0.2">
      <c r="A22" s="85">
        <v>1325</v>
      </c>
      <c r="B22" s="86" t="s">
        <v>385</v>
      </c>
      <c r="C22" s="85">
        <v>17</v>
      </c>
      <c r="E22" s="86" t="s">
        <v>410</v>
      </c>
      <c r="F22" s="85">
        <f>IF(F19,8,0)</f>
        <v>8</v>
      </c>
    </row>
    <row r="23" spans="1:6" x14ac:dyDescent="0.2">
      <c r="A23" s="87">
        <v>1405</v>
      </c>
      <c r="B23" s="87" t="s">
        <v>386</v>
      </c>
      <c r="C23" s="87">
        <v>18</v>
      </c>
      <c r="E23" s="87" t="s">
        <v>411</v>
      </c>
      <c r="F23" s="87">
        <f>MAX(F20:F22)</f>
        <v>8</v>
      </c>
    </row>
    <row r="24" spans="1:6" x14ac:dyDescent="0.2">
      <c r="A24" s="85">
        <v>1485</v>
      </c>
      <c r="B24" s="86" t="s">
        <v>387</v>
      </c>
      <c r="C24" s="85">
        <v>19</v>
      </c>
    </row>
    <row r="25" spans="1:6" x14ac:dyDescent="0.2">
      <c r="A25" s="87">
        <v>1565</v>
      </c>
      <c r="B25" s="87" t="s">
        <v>388</v>
      </c>
      <c r="C25" s="87">
        <v>20</v>
      </c>
      <c r="E25" s="629" t="s">
        <v>33</v>
      </c>
      <c r="F25" s="630"/>
    </row>
    <row r="26" spans="1:6" x14ac:dyDescent="0.2">
      <c r="A26" s="85">
        <v>1645</v>
      </c>
      <c r="B26" s="86" t="s">
        <v>389</v>
      </c>
      <c r="C26" s="85">
        <v>21</v>
      </c>
      <c r="E26" s="88" t="s">
        <v>595</v>
      </c>
      <c r="F26" s="87">
        <f>(EDU+STR)*2</f>
        <v>0</v>
      </c>
    </row>
    <row r="27" spans="1:6" x14ac:dyDescent="0.2">
      <c r="A27" s="87">
        <v>1725</v>
      </c>
      <c r="B27" s="87" t="s">
        <v>390</v>
      </c>
      <c r="C27" s="87">
        <v>22</v>
      </c>
      <c r="E27" s="89" t="s">
        <v>594</v>
      </c>
      <c r="F27" s="85">
        <f>(EDU+DEX)*2</f>
        <v>0</v>
      </c>
    </row>
    <row r="28" spans="1:6" x14ac:dyDescent="0.2">
      <c r="A28" s="85">
        <v>1805</v>
      </c>
      <c r="B28" s="86" t="s">
        <v>391</v>
      </c>
      <c r="C28" s="85">
        <v>23</v>
      </c>
      <c r="E28" s="88" t="s">
        <v>84</v>
      </c>
      <c r="F28" s="87">
        <f>(EDU+APP)*2</f>
        <v>0</v>
      </c>
    </row>
    <row r="29" spans="1:6" x14ac:dyDescent="0.2">
      <c r="A29" s="87">
        <v>1885</v>
      </c>
      <c r="B29" s="87" t="s">
        <v>392</v>
      </c>
      <c r="C29" s="87">
        <v>24</v>
      </c>
      <c r="E29" s="89" t="s">
        <v>596</v>
      </c>
      <c r="F29" s="85">
        <f>(EDU+POW)*2</f>
        <v>0</v>
      </c>
    </row>
    <row r="30" spans="1:6" x14ac:dyDescent="0.2">
      <c r="A30" s="85">
        <v>1965</v>
      </c>
      <c r="B30" s="86" t="s">
        <v>393</v>
      </c>
      <c r="C30" s="85">
        <v>25</v>
      </c>
      <c r="E30" s="88" t="s">
        <v>723</v>
      </c>
      <c r="F30" s="87">
        <f>(EDU+INT)*2</f>
        <v>0</v>
      </c>
    </row>
    <row r="31" spans="1:6" x14ac:dyDescent="0.2">
      <c r="A31" s="87">
        <v>2045</v>
      </c>
      <c r="B31" s="87" t="s">
        <v>394</v>
      </c>
      <c r="C31" s="87">
        <v>26</v>
      </c>
      <c r="E31" s="89" t="s">
        <v>82</v>
      </c>
      <c r="F31" s="85">
        <f>EDU*4</f>
        <v>0</v>
      </c>
    </row>
    <row r="32" spans="1:6" x14ac:dyDescent="0.2">
      <c r="A32" s="85">
        <v>2125</v>
      </c>
      <c r="B32" s="86" t="s">
        <v>395</v>
      </c>
      <c r="C32" s="85">
        <v>27</v>
      </c>
    </row>
  </sheetData>
  <sheetProtection algorithmName="SHA-512" hashValue="iLHcrcUE7IQd/RYa9+CAUi6eb4h9CQtbO2prjTTID014siiQ4cQEBGnKhBPzS98WkryC5bt1LLvbEkh3d9b0WQ==" saltValue="wh8FASWWnDjKRUdzJA4NH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莫亦</cp:lastModifiedBy>
  <cp:lastPrinted>2018-09-19T08:55:20Z</cp:lastPrinted>
  <dcterms:created xsi:type="dcterms:W3CDTF">2015-07-06T01:28:16Z</dcterms:created>
  <dcterms:modified xsi:type="dcterms:W3CDTF">2018-11-13T15:10:08Z</dcterms:modified>
</cp:coreProperties>
</file>